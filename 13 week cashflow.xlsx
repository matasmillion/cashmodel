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tiasbelete/Downloads/"/>
    </mc:Choice>
  </mc:AlternateContent>
  <xr:revisionPtr revIDLastSave="0" documentId="8_{88BA6ED4-E081-0041-9225-79654108CD37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13 Week Cashflow" sheetId="2" r:id="rId1"/>
    <sheet name="OPEX" sheetId="3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3" l="1"/>
  <c r="D65" i="3"/>
  <c r="F64" i="3"/>
  <c r="F63" i="3"/>
  <c r="F62" i="3"/>
  <c r="F61" i="3"/>
  <c r="F60" i="3"/>
  <c r="F59" i="3"/>
  <c r="D58" i="3"/>
  <c r="F58" i="3" s="1"/>
  <c r="F53" i="3"/>
  <c r="F52" i="3"/>
  <c r="D52" i="3"/>
  <c r="D51" i="3"/>
  <c r="F48" i="3"/>
  <c r="F47" i="3"/>
  <c r="F46" i="3"/>
  <c r="F45" i="3"/>
  <c r="F44" i="3"/>
  <c r="F43" i="3"/>
  <c r="F42" i="3"/>
  <c r="F35" i="3"/>
  <c r="I34" i="3"/>
  <c r="F34" i="3"/>
  <c r="I32" i="3"/>
  <c r="F32" i="3"/>
  <c r="F31" i="3"/>
  <c r="F30" i="3"/>
  <c r="F29" i="3"/>
  <c r="I28" i="3" s="1"/>
  <c r="I28" i="2" s="1"/>
  <c r="J28" i="2" s="1"/>
  <c r="F28" i="3"/>
  <c r="F25" i="3"/>
  <c r="F24" i="3"/>
  <c r="F23" i="3"/>
  <c r="F21" i="3"/>
  <c r="F20" i="3"/>
  <c r="H18" i="3"/>
  <c r="F18" i="3"/>
  <c r="K17" i="3"/>
  <c r="L17" i="3" s="1"/>
  <c r="H17" i="3"/>
  <c r="F17" i="3"/>
  <c r="H16" i="3"/>
  <c r="F16" i="3"/>
  <c r="H15" i="3"/>
  <c r="F15" i="3"/>
  <c r="H14" i="3"/>
  <c r="F14" i="3"/>
  <c r="H13" i="3"/>
  <c r="F13" i="3"/>
  <c r="O7" i="3" s="1"/>
  <c r="F11" i="3"/>
  <c r="L10" i="3"/>
  <c r="K10" i="3"/>
  <c r="F10" i="3"/>
  <c r="F9" i="3"/>
  <c r="F8" i="3"/>
  <c r="O8" i="3" s="1"/>
  <c r="D8" i="3"/>
  <c r="F7" i="3"/>
  <c r="O6" i="3"/>
  <c r="F6" i="3"/>
  <c r="H5" i="3"/>
  <c r="F5" i="3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G71" i="2"/>
  <c r="F71" i="2"/>
  <c r="E71" i="2"/>
  <c r="D71" i="2"/>
  <c r="C71" i="2"/>
  <c r="L68" i="2"/>
  <c r="K68" i="2"/>
  <c r="J68" i="2"/>
  <c r="F68" i="2"/>
  <c r="E68" i="2"/>
  <c r="E65" i="2"/>
  <c r="I64" i="2"/>
  <c r="S62" i="2"/>
  <c r="I62" i="2"/>
  <c r="BI61" i="2"/>
  <c r="BH61" i="2"/>
  <c r="BE61" i="2"/>
  <c r="BD61" i="2"/>
  <c r="BA61" i="2"/>
  <c r="AZ61" i="2"/>
  <c r="AV61" i="2"/>
  <c r="AT61" i="2"/>
  <c r="AN61" i="2"/>
  <c r="AL61" i="2"/>
  <c r="AH61" i="2"/>
  <c r="D61" i="2"/>
  <c r="BH59" i="2"/>
  <c r="BD59" i="2"/>
  <c r="AZ59" i="2"/>
  <c r="AV59" i="2"/>
  <c r="AN59" i="2"/>
  <c r="AD59" i="2"/>
  <c r="Z59" i="2"/>
  <c r="V59" i="2"/>
  <c r="R59" i="2"/>
  <c r="Q59" i="2"/>
  <c r="M59" i="2"/>
  <c r="H59" i="2"/>
  <c r="D59" i="2"/>
  <c r="AF57" i="2"/>
  <c r="O57" i="2"/>
  <c r="N57" i="2"/>
  <c r="M57" i="2"/>
  <c r="L57" i="2"/>
  <c r="J57" i="2"/>
  <c r="I57" i="2"/>
  <c r="H57" i="2"/>
  <c r="O53" i="2"/>
  <c r="N53" i="2"/>
  <c r="M53" i="2"/>
  <c r="M64" i="2" s="1"/>
  <c r="L53" i="2"/>
  <c r="K53" i="2"/>
  <c r="J53" i="2"/>
  <c r="I53" i="2"/>
  <c r="H53" i="2"/>
  <c r="G53" i="2"/>
  <c r="F53" i="2"/>
  <c r="E53" i="2"/>
  <c r="D53" i="2"/>
  <c r="D64" i="2" s="1"/>
  <c r="I51" i="2"/>
  <c r="H47" i="2"/>
  <c r="E47" i="2"/>
  <c r="E64" i="2" s="1"/>
  <c r="N44" i="2"/>
  <c r="F44" i="2"/>
  <c r="D44" i="2"/>
  <c r="O43" i="2"/>
  <c r="N43" i="2"/>
  <c r="L43" i="2"/>
  <c r="L44" i="2" s="1"/>
  <c r="K43" i="2"/>
  <c r="J43" i="2"/>
  <c r="J44" i="2" s="1"/>
  <c r="I43" i="2"/>
  <c r="G43" i="2"/>
  <c r="G44" i="2" s="1"/>
  <c r="E43" i="2"/>
  <c r="O42" i="2"/>
  <c r="O44" i="2" s="1"/>
  <c r="N42" i="2"/>
  <c r="M42" i="2"/>
  <c r="M44" i="2" s="1"/>
  <c r="M65" i="2" s="1"/>
  <c r="L42" i="2"/>
  <c r="K42" i="2"/>
  <c r="K44" i="2" s="1"/>
  <c r="J42" i="2"/>
  <c r="I42" i="2"/>
  <c r="I44" i="2" s="1"/>
  <c r="H42" i="2"/>
  <c r="H44" i="2" s="1"/>
  <c r="G42" i="2"/>
  <c r="E42" i="2"/>
  <c r="E44" i="2" s="1"/>
  <c r="D42" i="2"/>
  <c r="C42" i="2"/>
  <c r="C44" i="2" s="1"/>
  <c r="C40" i="2"/>
  <c r="C72" i="2" s="1"/>
  <c r="I39" i="2"/>
  <c r="H39" i="2"/>
  <c r="E35" i="2"/>
  <c r="D35" i="2"/>
  <c r="O34" i="2"/>
  <c r="G34" i="2"/>
  <c r="N33" i="2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BH33" i="2" s="1"/>
  <c r="BI33" i="2" s="1"/>
  <c r="J33" i="2"/>
  <c r="K33" i="2" s="1"/>
  <c r="L33" i="2" s="1"/>
  <c r="I33" i="2"/>
  <c r="F33" i="2"/>
  <c r="G33" i="2" s="1"/>
  <c r="D33" i="2"/>
  <c r="E33" i="2" s="1"/>
  <c r="AF32" i="2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Y32" i="2"/>
  <c r="Z32" i="2" s="1"/>
  <c r="AA32" i="2" s="1"/>
  <c r="AB32" i="2" s="1"/>
  <c r="AC32" i="2" s="1"/>
  <c r="AD32" i="2" s="1"/>
  <c r="AE32" i="2" s="1"/>
  <c r="M32" i="2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1" i="2" s="1"/>
  <c r="Y31" i="2" s="1"/>
  <c r="Z31" i="2" s="1"/>
  <c r="AA31" i="2" s="1"/>
  <c r="AB31" i="2" s="1"/>
  <c r="AC31" i="2" s="1"/>
  <c r="AD31" i="2" s="1"/>
  <c r="AE31" i="2" s="1"/>
  <c r="L32" i="2"/>
  <c r="K32" i="2"/>
  <c r="I32" i="2"/>
  <c r="D32" i="2"/>
  <c r="E32" i="2" s="1"/>
  <c r="F32" i="2" s="1"/>
  <c r="G32" i="2" s="1"/>
  <c r="AF31" i="2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L31" i="2"/>
  <c r="M31" i="2" s="1"/>
  <c r="J31" i="2"/>
  <c r="H28" i="2"/>
  <c r="F28" i="2"/>
  <c r="G28" i="2" s="1"/>
  <c r="D28" i="2"/>
  <c r="E28" i="2" s="1"/>
  <c r="E39" i="2" s="1"/>
  <c r="C28" i="2"/>
  <c r="C37" i="2" s="1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K24" i="2"/>
  <c r="J24" i="2"/>
  <c r="D24" i="2"/>
  <c r="C24" i="2"/>
  <c r="C38" i="2" s="1"/>
  <c r="L23" i="2"/>
  <c r="I23" i="2"/>
  <c r="I68" i="2" s="1"/>
  <c r="G23" i="2"/>
  <c r="G68" i="2" s="1"/>
  <c r="H22" i="2"/>
  <c r="H68" i="2" s="1"/>
  <c r="D22" i="2"/>
  <c r="K21" i="2"/>
  <c r="H21" i="2"/>
  <c r="H24" i="2" s="1"/>
  <c r="G21" i="2"/>
  <c r="F21" i="2"/>
  <c r="E21" i="2"/>
  <c r="E24" i="2" s="1"/>
  <c r="D21" i="2"/>
  <c r="L17" i="2"/>
  <c r="O15" i="2"/>
  <c r="K15" i="2"/>
  <c r="F15" i="2"/>
  <c r="L12" i="2"/>
  <c r="L21" i="2" s="1"/>
  <c r="I12" i="2"/>
  <c r="H12" i="2"/>
  <c r="E12" i="2"/>
  <c r="C12" i="2"/>
  <c r="C21" i="2" s="1"/>
  <c r="P11" i="2"/>
  <c r="P21" i="2" s="1"/>
  <c r="O11" i="2"/>
  <c r="O21" i="2" s="1"/>
  <c r="N11" i="2"/>
  <c r="N21" i="2" s="1"/>
  <c r="M11" i="2"/>
  <c r="M21" i="2" s="1"/>
  <c r="J11" i="2"/>
  <c r="J21" i="2" s="1"/>
  <c r="J39" i="2" s="1"/>
  <c r="I11" i="2"/>
  <c r="I21" i="2" s="1"/>
  <c r="I24" i="2" s="1"/>
  <c r="C9" i="2"/>
  <c r="AF7" i="2"/>
  <c r="AF5" i="2" s="1"/>
  <c r="AE7" i="2"/>
  <c r="AD7" i="2"/>
  <c r="Q7" i="2"/>
  <c r="P7" i="2"/>
  <c r="P57" i="2" s="1"/>
  <c r="G7" i="2"/>
  <c r="G47" i="2" s="1"/>
  <c r="G64" i="2" s="1"/>
  <c r="F7" i="2"/>
  <c r="F57" i="2" s="1"/>
  <c r="E7" i="2"/>
  <c r="C7" i="2"/>
  <c r="C47" i="2" s="1"/>
  <c r="AF6" i="2"/>
  <c r="AG6" i="2" s="1"/>
  <c r="AG7" i="2" s="1"/>
  <c r="AE6" i="2"/>
  <c r="Q6" i="2"/>
  <c r="R6" i="2" s="1"/>
  <c r="S6" i="2" s="1"/>
  <c r="K6" i="2"/>
  <c r="H6" i="2"/>
  <c r="C5" i="2"/>
  <c r="C53" i="2" s="1"/>
  <c r="D4" i="2"/>
  <c r="D9" i="2" s="1"/>
  <c r="D40" i="2" s="1"/>
  <c r="D72" i="2" s="1"/>
  <c r="H3" i="2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E3" i="2"/>
  <c r="F3" i="2" s="1"/>
  <c r="G3" i="2" s="1"/>
  <c r="I2" i="2"/>
  <c r="E2" i="2"/>
  <c r="H64" i="2" l="1"/>
  <c r="H65" i="2" s="1"/>
  <c r="L39" i="2"/>
  <c r="L24" i="2"/>
  <c r="D65" i="2"/>
  <c r="AF42" i="2"/>
  <c r="AF53" i="2"/>
  <c r="AF64" i="2" s="1"/>
  <c r="AF43" i="2"/>
  <c r="F39" i="2"/>
  <c r="F24" i="2"/>
  <c r="Q57" i="2"/>
  <c r="Q5" i="2"/>
  <c r="AH6" i="2"/>
  <c r="L6" i="2"/>
  <c r="M6" i="2" s="1"/>
  <c r="N6" i="2" s="1"/>
  <c r="O6" i="2" s="1"/>
  <c r="K7" i="2"/>
  <c r="K57" i="2" s="1"/>
  <c r="K64" i="2" s="1"/>
  <c r="K65" i="2" s="1"/>
  <c r="M39" i="2"/>
  <c r="M24" i="2"/>
  <c r="O59" i="2"/>
  <c r="O64" i="2" s="1"/>
  <c r="O65" i="2" s="1"/>
  <c r="AB59" i="2"/>
  <c r="T59" i="2"/>
  <c r="X59" i="2"/>
  <c r="K59" i="2"/>
  <c r="AG57" i="2"/>
  <c r="AG5" i="2"/>
  <c r="T6" i="2"/>
  <c r="S7" i="2"/>
  <c r="N24" i="2"/>
  <c r="R7" i="2"/>
  <c r="G39" i="2"/>
  <c r="G24" i="2"/>
  <c r="N65" i="2"/>
  <c r="O5" i="3"/>
  <c r="I5" i="3"/>
  <c r="D34" i="2"/>
  <c r="O24" i="2"/>
  <c r="AD57" i="2"/>
  <c r="AD5" i="2"/>
  <c r="AE57" i="2"/>
  <c r="AE5" i="2"/>
  <c r="D39" i="2"/>
  <c r="Q27" i="2"/>
  <c r="F35" i="2"/>
  <c r="G35" i="2" s="1"/>
  <c r="H35" i="2" s="1"/>
  <c r="E69" i="2"/>
  <c r="K28" i="2"/>
  <c r="K39" i="2" s="1"/>
  <c r="P5" i="2"/>
  <c r="C64" i="2"/>
  <c r="C65" i="2" s="1"/>
  <c r="F47" i="2"/>
  <c r="F64" i="2" s="1"/>
  <c r="F65" i="2" s="1"/>
  <c r="K34" i="2"/>
  <c r="L34" i="2" s="1"/>
  <c r="J64" i="2"/>
  <c r="J65" i="2" s="1"/>
  <c r="M28" i="2"/>
  <c r="N28" i="2" s="1"/>
  <c r="I65" i="2"/>
  <c r="N64" i="2"/>
  <c r="E4" i="2"/>
  <c r="C39" i="2"/>
  <c r="P24" i="2"/>
  <c r="M23" i="2"/>
  <c r="G65" i="2"/>
  <c r="K16" i="3"/>
  <c r="L16" i="3" s="1"/>
  <c r="AA59" i="2"/>
  <c r="N59" i="2"/>
  <c r="W59" i="2"/>
  <c r="AE59" i="2"/>
  <c r="AX61" i="2"/>
  <c r="AP61" i="2"/>
  <c r="D41" i="3"/>
  <c r="D36" i="3" s="1"/>
  <c r="F36" i="3" s="1"/>
  <c r="F3" i="3" s="1"/>
  <c r="F2" i="3" s="1"/>
  <c r="F51" i="3"/>
  <c r="K18" i="3"/>
  <c r="L18" i="3" s="1"/>
  <c r="G2" i="3" l="1"/>
  <c r="E2" i="3"/>
  <c r="D2" i="3" s="1"/>
  <c r="I35" i="2"/>
  <c r="H37" i="2"/>
  <c r="H38" i="2" s="1"/>
  <c r="R5" i="2"/>
  <c r="R57" i="2"/>
  <c r="F37" i="2"/>
  <c r="H69" i="2"/>
  <c r="AI6" i="2"/>
  <c r="AH7" i="2"/>
  <c r="F38" i="2"/>
  <c r="Y59" i="2"/>
  <c r="L59" i="2"/>
  <c r="L64" i="2" s="1"/>
  <c r="L65" i="2" s="1"/>
  <c r="AC59" i="2"/>
  <c r="P59" i="2"/>
  <c r="U59" i="2"/>
  <c r="AQ59" i="2"/>
  <c r="AH59" i="2"/>
  <c r="AL59" i="2"/>
  <c r="E9" i="2"/>
  <c r="E40" i="2" s="1"/>
  <c r="E72" i="2" s="1"/>
  <c r="F4" i="2"/>
  <c r="P43" i="2"/>
  <c r="Q22" i="2" s="1"/>
  <c r="M2" i="2"/>
  <c r="P53" i="2"/>
  <c r="P42" i="2"/>
  <c r="P44" i="2" s="1"/>
  <c r="AG53" i="2"/>
  <c r="AG42" i="2"/>
  <c r="AG43" i="2"/>
  <c r="AF44" i="2"/>
  <c r="AF65" i="2" s="1"/>
  <c r="O28" i="2"/>
  <c r="U6" i="2"/>
  <c r="T7" i="2"/>
  <c r="L18" i="2"/>
  <c r="L19" i="2" s="1"/>
  <c r="G38" i="2"/>
  <c r="Q53" i="2"/>
  <c r="Q43" i="2"/>
  <c r="Q42" i="2"/>
  <c r="Q47" i="2"/>
  <c r="R27" i="2"/>
  <c r="AE53" i="2"/>
  <c r="AE64" i="2" s="1"/>
  <c r="AE43" i="2"/>
  <c r="AE42" i="2"/>
  <c r="AE44" i="2" s="1"/>
  <c r="S57" i="2"/>
  <c r="S5" i="2"/>
  <c r="G37" i="2"/>
  <c r="AD43" i="2"/>
  <c r="AD42" i="2"/>
  <c r="AD44" i="2" s="1"/>
  <c r="AD53" i="2"/>
  <c r="AD2" i="2"/>
  <c r="N23" i="2"/>
  <c r="M68" i="2"/>
  <c r="F69" i="2"/>
  <c r="G69" i="2"/>
  <c r="E34" i="2"/>
  <c r="E37" i="2" s="1"/>
  <c r="E38" i="2" s="1"/>
  <c r="D37" i="2"/>
  <c r="D38" i="2" s="1"/>
  <c r="S42" i="2" l="1"/>
  <c r="S53" i="2"/>
  <c r="S64" i="2" s="1"/>
  <c r="S43" i="2"/>
  <c r="O23" i="2"/>
  <c r="N68" i="2"/>
  <c r="N39" i="2"/>
  <c r="P65" i="2"/>
  <c r="Q12" i="2" s="1"/>
  <c r="Q21" i="2" s="1"/>
  <c r="P64" i="2"/>
  <c r="Q34" i="2"/>
  <c r="R34" i="2" s="1"/>
  <c r="S34" i="2" s="1"/>
  <c r="T34" i="2" s="1"/>
  <c r="J35" i="2"/>
  <c r="I69" i="2"/>
  <c r="I37" i="2"/>
  <c r="I38" i="2" s="1"/>
  <c r="P28" i="2"/>
  <c r="O39" i="2"/>
  <c r="AH57" i="2"/>
  <c r="AH5" i="2"/>
  <c r="S27" i="2"/>
  <c r="T57" i="2"/>
  <c r="T5" i="2"/>
  <c r="R43" i="2"/>
  <c r="R53" i="2"/>
  <c r="R64" i="2" s="1"/>
  <c r="R42" i="2"/>
  <c r="Q44" i="2"/>
  <c r="U7" i="2"/>
  <c r="V6" i="2"/>
  <c r="R22" i="2"/>
  <c r="G4" i="2"/>
  <c r="F9" i="2"/>
  <c r="F40" i="2" s="1"/>
  <c r="F72" i="2" s="1"/>
  <c r="AE65" i="2"/>
  <c r="AI7" i="2"/>
  <c r="AJ6" i="2"/>
  <c r="AG44" i="2"/>
  <c r="AJ7" i="2" l="1"/>
  <c r="AK6" i="2"/>
  <c r="AI5" i="2"/>
  <c r="AI57" i="2"/>
  <c r="Q24" i="2"/>
  <c r="S22" i="2"/>
  <c r="T22" i="2" s="1"/>
  <c r="K35" i="2"/>
  <c r="J37" i="2"/>
  <c r="J38" i="2" s="1"/>
  <c r="J69" i="2"/>
  <c r="W6" i="2"/>
  <c r="V7" i="2"/>
  <c r="U57" i="2"/>
  <c r="U5" i="2"/>
  <c r="T53" i="2"/>
  <c r="T64" i="2" s="1"/>
  <c r="T42" i="2"/>
  <c r="T43" i="2"/>
  <c r="Q28" i="2"/>
  <c r="T27" i="2"/>
  <c r="O68" i="2"/>
  <c r="P23" i="2"/>
  <c r="P39" i="2" s="1"/>
  <c r="S44" i="2"/>
  <c r="S65" i="2" s="1"/>
  <c r="G9" i="2"/>
  <c r="G40" i="2" s="1"/>
  <c r="G72" i="2" s="1"/>
  <c r="H4" i="2"/>
  <c r="R44" i="2"/>
  <c r="R65" i="2" s="1"/>
  <c r="AH42" i="2"/>
  <c r="AH53" i="2"/>
  <c r="AH64" i="2" s="1"/>
  <c r="AH43" i="2"/>
  <c r="U27" i="2" l="1"/>
  <c r="U34" i="2"/>
  <c r="T44" i="2"/>
  <c r="T65" i="2" s="1"/>
  <c r="U53" i="2"/>
  <c r="U43" i="2"/>
  <c r="U42" i="2"/>
  <c r="U44" i="2" s="1"/>
  <c r="V57" i="2"/>
  <c r="V5" i="2"/>
  <c r="W7" i="2"/>
  <c r="X6" i="2"/>
  <c r="AH44" i="2"/>
  <c r="AH65" i="2" s="1"/>
  <c r="AK7" i="2"/>
  <c r="AL6" i="2"/>
  <c r="Q23" i="2"/>
  <c r="P68" i="2"/>
  <c r="Q62" i="2"/>
  <c r="Q64" i="2" s="1"/>
  <c r="Q65" i="2" s="1"/>
  <c r="R12" i="2" s="1"/>
  <c r="R21" i="2" s="1"/>
  <c r="AI53" i="2"/>
  <c r="AI42" i="2"/>
  <c r="AI44" i="2" s="1"/>
  <c r="AI43" i="2"/>
  <c r="K69" i="2"/>
  <c r="L35" i="2"/>
  <c r="K37" i="2"/>
  <c r="K38" i="2" s="1"/>
  <c r="I4" i="2"/>
  <c r="H9" i="2"/>
  <c r="H40" i="2" s="1"/>
  <c r="Q2" i="2"/>
  <c r="U22" i="2"/>
  <c r="V22" i="2" s="1"/>
  <c r="AJ57" i="2"/>
  <c r="AJ5" i="2"/>
  <c r="AJ53" i="2" l="1"/>
  <c r="AJ64" i="2" s="1"/>
  <c r="AJ43" i="2"/>
  <c r="AJ42" i="2"/>
  <c r="AJ44" i="2" s="1"/>
  <c r="AJ65" i="2" s="1"/>
  <c r="AH2" i="2"/>
  <c r="V42" i="2"/>
  <c r="V53" i="2"/>
  <c r="V43" i="2"/>
  <c r="W22" i="2"/>
  <c r="R28" i="2"/>
  <c r="R39" i="2"/>
  <c r="R24" i="2"/>
  <c r="S12" i="2"/>
  <c r="S21" i="2" s="1"/>
  <c r="J4" i="2"/>
  <c r="I9" i="2"/>
  <c r="I40" i="2" s="1"/>
  <c r="Q68" i="2"/>
  <c r="R23" i="2"/>
  <c r="Q39" i="2"/>
  <c r="AK5" i="2"/>
  <c r="AK57" i="2"/>
  <c r="X7" i="2"/>
  <c r="Y6" i="2"/>
  <c r="W57" i="2"/>
  <c r="W5" i="2"/>
  <c r="M35" i="2"/>
  <c r="L69" i="2"/>
  <c r="L37" i="2"/>
  <c r="L38" i="2" s="1"/>
  <c r="AL7" i="2"/>
  <c r="AM6" i="2"/>
  <c r="V34" i="2"/>
  <c r="U47" i="2"/>
  <c r="U64" i="2" s="1"/>
  <c r="U65" i="2" s="1"/>
  <c r="J9" i="2" l="1"/>
  <c r="J40" i="2" s="1"/>
  <c r="K4" i="2"/>
  <c r="W43" i="2"/>
  <c r="W53" i="2"/>
  <c r="W64" i="2" s="1"/>
  <c r="W42" i="2"/>
  <c r="W44" i="2" s="1"/>
  <c r="W65" i="2" s="1"/>
  <c r="S39" i="2"/>
  <c r="S24" i="2"/>
  <c r="T12" i="2"/>
  <c r="T21" i="2" s="1"/>
  <c r="Y7" i="2"/>
  <c r="Z6" i="2"/>
  <c r="V27" i="2"/>
  <c r="X57" i="2"/>
  <c r="X5" i="2"/>
  <c r="W34" i="2"/>
  <c r="S28" i="2"/>
  <c r="AN6" i="2"/>
  <c r="AM7" i="2"/>
  <c r="AK43" i="2"/>
  <c r="AK53" i="2"/>
  <c r="AK42" i="2"/>
  <c r="AK44" i="2" s="1"/>
  <c r="X22" i="2"/>
  <c r="AL5" i="2"/>
  <c r="AL57" i="2"/>
  <c r="S23" i="2"/>
  <c r="R68" i="2"/>
  <c r="N35" i="2"/>
  <c r="M37" i="2"/>
  <c r="M38" i="2" s="1"/>
  <c r="M69" i="2"/>
  <c r="V44" i="2"/>
  <c r="Z7" i="2" l="1"/>
  <c r="AA6" i="2"/>
  <c r="Y57" i="2"/>
  <c r="Y5" i="2"/>
  <c r="T24" i="2"/>
  <c r="U12" i="2"/>
  <c r="U21" i="2" s="1"/>
  <c r="AO6" i="2"/>
  <c r="AN7" i="2"/>
  <c r="T28" i="2"/>
  <c r="T39" i="2" s="1"/>
  <c r="AM57" i="2"/>
  <c r="AM5" i="2"/>
  <c r="O35" i="2"/>
  <c r="N37" i="2"/>
  <c r="N38" i="2" s="1"/>
  <c r="N69" i="2"/>
  <c r="S68" i="2"/>
  <c r="T23" i="2"/>
  <c r="X34" i="2"/>
  <c r="X53" i="2"/>
  <c r="X64" i="2" s="1"/>
  <c r="X42" i="2"/>
  <c r="X43" i="2"/>
  <c r="Y22" i="2" s="1"/>
  <c r="K9" i="2"/>
  <c r="K40" i="2" s="1"/>
  <c r="L4" i="2"/>
  <c r="AL53" i="2"/>
  <c r="AL64" i="2" s="1"/>
  <c r="AL42" i="2"/>
  <c r="AL43" i="2"/>
  <c r="W27" i="2"/>
  <c r="Y34" i="2" l="1"/>
  <c r="Y53" i="2"/>
  <c r="X27" i="2"/>
  <c r="AN5" i="2"/>
  <c r="AN57" i="2"/>
  <c r="U39" i="2"/>
  <c r="U24" i="2"/>
  <c r="V12" i="2"/>
  <c r="V21" i="2" s="1"/>
  <c r="Y43" i="2"/>
  <c r="Z22" i="2" s="1"/>
  <c r="Y42" i="2"/>
  <c r="V2" i="2"/>
  <c r="U28" i="2"/>
  <c r="T68" i="2"/>
  <c r="U23" i="2"/>
  <c r="AP6" i="2"/>
  <c r="AO7" i="2"/>
  <c r="AL44" i="2"/>
  <c r="AL65" i="2" s="1"/>
  <c r="P35" i="2"/>
  <c r="O37" i="2"/>
  <c r="O38" i="2" s="1"/>
  <c r="O69" i="2"/>
  <c r="L9" i="2"/>
  <c r="L40" i="2" s="1"/>
  <c r="M4" i="2"/>
  <c r="AM53" i="2"/>
  <c r="AM42" i="2"/>
  <c r="AM43" i="2"/>
  <c r="AB6" i="2"/>
  <c r="AA7" i="2"/>
  <c r="X44" i="2"/>
  <c r="X65" i="2" s="1"/>
  <c r="Z57" i="2"/>
  <c r="Z5" i="2"/>
  <c r="Q35" i="2" l="1"/>
  <c r="P37" i="2"/>
  <c r="P38" i="2" s="1"/>
  <c r="P69" i="2"/>
  <c r="V24" i="2"/>
  <c r="AQ6" i="2"/>
  <c r="AP7" i="2"/>
  <c r="AB7" i="2"/>
  <c r="AC6" i="2"/>
  <c r="AC7" i="2" s="1"/>
  <c r="AN43" i="2"/>
  <c r="AN53" i="2"/>
  <c r="AN64" i="2" s="1"/>
  <c r="AN42" i="2"/>
  <c r="AO57" i="2"/>
  <c r="AO5" i="2"/>
  <c r="AA57" i="2"/>
  <c r="AA5" i="2"/>
  <c r="V28" i="2"/>
  <c r="Z34" i="2"/>
  <c r="Z53" i="2"/>
  <c r="Z43" i="2"/>
  <c r="AA22" i="2" s="1"/>
  <c r="Z42" i="2"/>
  <c r="Z44" i="2" s="1"/>
  <c r="U68" i="2"/>
  <c r="V23" i="2"/>
  <c r="AM44" i="2"/>
  <c r="Y27" i="2"/>
  <c r="M9" i="2"/>
  <c r="M40" i="2" s="1"/>
  <c r="N4" i="2"/>
  <c r="Y44" i="2"/>
  <c r="AA34" i="2" l="1"/>
  <c r="AB57" i="2"/>
  <c r="AB5" i="2"/>
  <c r="Y47" i="2"/>
  <c r="Y64" i="2" s="1"/>
  <c r="Z27" i="2"/>
  <c r="AP5" i="2"/>
  <c r="AP57" i="2"/>
  <c r="AA43" i="2"/>
  <c r="AB22" i="2" s="1"/>
  <c r="AA42" i="2"/>
  <c r="AA53" i="2"/>
  <c r="AA64" i="2" s="1"/>
  <c r="V68" i="2"/>
  <c r="W23" i="2"/>
  <c r="Z2" i="2"/>
  <c r="Y65" i="2"/>
  <c r="AN44" i="2"/>
  <c r="AN65" i="2" s="1"/>
  <c r="R35" i="2"/>
  <c r="Q37" i="2"/>
  <c r="Q38" i="2" s="1"/>
  <c r="Q69" i="2"/>
  <c r="O4" i="2"/>
  <c r="N9" i="2"/>
  <c r="N40" i="2" s="1"/>
  <c r="AC57" i="2"/>
  <c r="AC5" i="2"/>
  <c r="V62" i="2"/>
  <c r="V64" i="2" s="1"/>
  <c r="V65" i="2" s="1"/>
  <c r="W12" i="2" s="1"/>
  <c r="W21" i="2" s="1"/>
  <c r="W28" i="2"/>
  <c r="AQ7" i="2"/>
  <c r="AR6" i="2"/>
  <c r="V39" i="2"/>
  <c r="AO43" i="2"/>
  <c r="AO53" i="2"/>
  <c r="AO42" i="2"/>
  <c r="AL2" i="2"/>
  <c r="S35" i="2" l="1"/>
  <c r="R37" i="2"/>
  <c r="R38" i="2" s="1"/>
  <c r="R69" i="2"/>
  <c r="X12" i="2"/>
  <c r="X21" i="2" s="1"/>
  <c r="W39" i="2"/>
  <c r="W24" i="2"/>
  <c r="AC42" i="2"/>
  <c r="AC43" i="2"/>
  <c r="AC53" i="2"/>
  <c r="AB43" i="2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B42" i="2"/>
  <c r="AB44" i="2" s="1"/>
  <c r="AB65" i="2" s="1"/>
  <c r="AB53" i="2"/>
  <c r="AB64" i="2" s="1"/>
  <c r="AQ57" i="2"/>
  <c r="AQ5" i="2"/>
  <c r="AA27" i="2"/>
  <c r="W68" i="2"/>
  <c r="X23" i="2"/>
  <c r="AB34" i="2"/>
  <c r="AC34" i="2" s="1"/>
  <c r="AS6" i="2"/>
  <c r="AR7" i="2"/>
  <c r="AP53" i="2"/>
  <c r="AP64" i="2" s="1"/>
  <c r="AP43" i="2"/>
  <c r="AP42" i="2"/>
  <c r="AP44" i="2" s="1"/>
  <c r="X28" i="2"/>
  <c r="AO44" i="2"/>
  <c r="P4" i="2"/>
  <c r="O9" i="2"/>
  <c r="O40" i="2" s="1"/>
  <c r="AA44" i="2"/>
  <c r="AA65" i="2" s="1"/>
  <c r="AR57" i="2" l="1"/>
  <c r="AR5" i="2"/>
  <c r="AS7" i="2"/>
  <c r="AT6" i="2"/>
  <c r="Q4" i="2"/>
  <c r="P9" i="2"/>
  <c r="P40" i="2" s="1"/>
  <c r="Y12" i="2"/>
  <c r="Y21" i="2" s="1"/>
  <c r="X24" i="2"/>
  <c r="X39" i="2"/>
  <c r="AB27" i="2"/>
  <c r="T35" i="2"/>
  <c r="S37" i="2"/>
  <c r="S38" i="2" s="1"/>
  <c r="S69" i="2"/>
  <c r="AD34" i="2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C44" i="2"/>
  <c r="X68" i="2"/>
  <c r="Y23" i="2"/>
  <c r="Y28" i="2"/>
  <c r="AP65" i="2"/>
  <c r="AQ42" i="2"/>
  <c r="AQ53" i="2"/>
  <c r="AQ43" i="2"/>
  <c r="AR22" i="2" s="1"/>
  <c r="Z12" i="2" l="1"/>
  <c r="Z21" i="2" s="1"/>
  <c r="Y39" i="2"/>
  <c r="Y24" i="2"/>
  <c r="R4" i="2"/>
  <c r="Q9" i="2"/>
  <c r="Q40" i="2" s="1"/>
  <c r="AQ44" i="2"/>
  <c r="Y68" i="2"/>
  <c r="Z23" i="2"/>
  <c r="AT7" i="2"/>
  <c r="AU6" i="2"/>
  <c r="U35" i="2"/>
  <c r="T37" i="2"/>
  <c r="T38" i="2" s="1"/>
  <c r="T69" i="2"/>
  <c r="AS57" i="2"/>
  <c r="AS5" i="2"/>
  <c r="AR43" i="2"/>
  <c r="AS22" i="2" s="1"/>
  <c r="AR42" i="2"/>
  <c r="AR44" i="2" s="1"/>
  <c r="AR53" i="2"/>
  <c r="AR64" i="2" s="1"/>
  <c r="AC27" i="2"/>
  <c r="Z62" i="2"/>
  <c r="Z64" i="2" s="1"/>
  <c r="Z65" i="2" s="1"/>
  <c r="Z28" i="2"/>
  <c r="AR65" i="2" l="1"/>
  <c r="AS53" i="2"/>
  <c r="AS42" i="2"/>
  <c r="AS43" i="2"/>
  <c r="AT22" i="2" s="1"/>
  <c r="AP2" i="2"/>
  <c r="AS34" i="2"/>
  <c r="AT34" i="2" s="1"/>
  <c r="AA23" i="2"/>
  <c r="Z68" i="2"/>
  <c r="V35" i="2"/>
  <c r="U37" i="2"/>
  <c r="U38" i="2" s="1"/>
  <c r="U69" i="2"/>
  <c r="R9" i="2"/>
  <c r="R40" i="2" s="1"/>
  <c r="S4" i="2"/>
  <c r="AA28" i="2"/>
  <c r="AA12" i="2"/>
  <c r="AA21" i="2" s="1"/>
  <c r="Z24" i="2"/>
  <c r="Z39" i="2"/>
  <c r="AC47" i="2"/>
  <c r="AC64" i="2" s="1"/>
  <c r="AC65" i="2" s="1"/>
  <c r="AV6" i="2"/>
  <c r="AU7" i="2"/>
  <c r="AT57" i="2"/>
  <c r="AT5" i="2"/>
  <c r="W35" i="2" l="1"/>
  <c r="V37" i="2"/>
  <c r="V38" i="2" s="1"/>
  <c r="V69" i="2"/>
  <c r="AV7" i="2"/>
  <c r="AW6" i="2"/>
  <c r="AB12" i="2"/>
  <c r="AB21" i="2" s="1"/>
  <c r="AA39" i="2"/>
  <c r="AA24" i="2"/>
  <c r="AA68" i="2"/>
  <c r="AB23" i="2"/>
  <c r="AB28" i="2"/>
  <c r="AT42" i="2"/>
  <c r="AT43" i="2"/>
  <c r="AU22" i="2" s="1"/>
  <c r="AT53" i="2"/>
  <c r="AT64" i="2" s="1"/>
  <c r="S9" i="2"/>
  <c r="S40" i="2" s="1"/>
  <c r="T4" i="2"/>
  <c r="AS44" i="2"/>
  <c r="AU57" i="2"/>
  <c r="AU5" i="2"/>
  <c r="AD27" i="2"/>
  <c r="AW7" i="2" l="1"/>
  <c r="AX6" i="2"/>
  <c r="AV57" i="2"/>
  <c r="AV5" i="2"/>
  <c r="AB39" i="2"/>
  <c r="AC12" i="2"/>
  <c r="AC21" i="2" s="1"/>
  <c r="AB24" i="2"/>
  <c r="AU34" i="2"/>
  <c r="AV34" i="2" s="1"/>
  <c r="AC28" i="2"/>
  <c r="T9" i="2"/>
  <c r="T40" i="2" s="1"/>
  <c r="U4" i="2"/>
  <c r="AT44" i="2"/>
  <c r="AT65" i="2" s="1"/>
  <c r="AE27" i="2"/>
  <c r="X35" i="2"/>
  <c r="W37" i="2"/>
  <c r="W38" i="2" s="1"/>
  <c r="W69" i="2"/>
  <c r="AB68" i="2"/>
  <c r="AC23" i="2"/>
  <c r="AU42" i="2"/>
  <c r="AU43" i="2"/>
  <c r="AV22" i="2" s="1"/>
  <c r="AU53" i="2"/>
  <c r="AU64" i="2" s="1"/>
  <c r="AD62" i="2" l="1"/>
  <c r="AD64" i="2" s="1"/>
  <c r="AD65" i="2" s="1"/>
  <c r="AD28" i="2"/>
  <c r="Y35" i="2"/>
  <c r="X37" i="2"/>
  <c r="X38" i="2" s="1"/>
  <c r="X69" i="2"/>
  <c r="AF27" i="2"/>
  <c r="AD12" i="2"/>
  <c r="AD21" i="2" s="1"/>
  <c r="AC39" i="2"/>
  <c r="AC24" i="2"/>
  <c r="AV53" i="2"/>
  <c r="AV64" i="2" s="1"/>
  <c r="AV42" i="2"/>
  <c r="AV43" i="2"/>
  <c r="AW22" i="2" s="1"/>
  <c r="AT2" i="2"/>
  <c r="B2" i="2" s="1"/>
  <c r="U9" i="2"/>
  <c r="U40" i="2" s="1"/>
  <c r="V4" i="2"/>
  <c r="AX7" i="2"/>
  <c r="AY6" i="2"/>
  <c r="AU44" i="2"/>
  <c r="AU65" i="2" s="1"/>
  <c r="AW57" i="2"/>
  <c r="AW5" i="2"/>
  <c r="AC68" i="2"/>
  <c r="AD23" i="2"/>
  <c r="AY7" i="2" l="1"/>
  <c r="AZ6" i="2"/>
  <c r="AX57" i="2"/>
  <c r="AX5" i="2"/>
  <c r="V9" i="2"/>
  <c r="V40" i="2" s="1"/>
  <c r="W4" i="2"/>
  <c r="AE28" i="2"/>
  <c r="AG27" i="2"/>
  <c r="Z35" i="2"/>
  <c r="Y37" i="2"/>
  <c r="Y38" i="2" s="1"/>
  <c r="Y69" i="2"/>
  <c r="AV44" i="2"/>
  <c r="AV65" i="2" s="1"/>
  <c r="AE23" i="2"/>
  <c r="AD68" i="2"/>
  <c r="AW42" i="2"/>
  <c r="AW53" i="2"/>
  <c r="AW43" i="2"/>
  <c r="AX22" i="2" s="1"/>
  <c r="AW34" i="2"/>
  <c r="AX34" i="2" s="1"/>
  <c r="AD39" i="2"/>
  <c r="AE12" i="2"/>
  <c r="AE21" i="2" s="1"/>
  <c r="AD24" i="2"/>
  <c r="W9" i="2" l="1"/>
  <c r="W40" i="2" s="1"/>
  <c r="X4" i="2"/>
  <c r="AY34" i="2"/>
  <c r="AG47" i="2"/>
  <c r="AG64" i="2" s="1"/>
  <c r="AG65" i="2" s="1"/>
  <c r="AF28" i="2"/>
  <c r="AW44" i="2"/>
  <c r="AE68" i="2"/>
  <c r="AF23" i="2"/>
  <c r="AX53" i="2"/>
  <c r="AX64" i="2" s="1"/>
  <c r="AX43" i="2"/>
  <c r="AY22" i="2" s="1"/>
  <c r="AX42" i="2"/>
  <c r="AX44" i="2" s="1"/>
  <c r="AX65" i="2" s="1"/>
  <c r="BA6" i="2"/>
  <c r="AZ7" i="2"/>
  <c r="AE39" i="2"/>
  <c r="AE24" i="2"/>
  <c r="AF12" i="2"/>
  <c r="AF21" i="2" s="1"/>
  <c r="AY57" i="2"/>
  <c r="AY5" i="2"/>
  <c r="AA35" i="2"/>
  <c r="Z37" i="2"/>
  <c r="Z38" i="2" s="1"/>
  <c r="Z69" i="2"/>
  <c r="AH27" i="2" l="1"/>
  <c r="AG28" i="2"/>
  <c r="AZ57" i="2"/>
  <c r="AZ5" i="2"/>
  <c r="AB35" i="2"/>
  <c r="AA37" i="2"/>
  <c r="AA38" i="2" s="1"/>
  <c r="AA69" i="2"/>
  <c r="AF24" i="2"/>
  <c r="AF39" i="2"/>
  <c r="AG12" i="2"/>
  <c r="AG21" i="2" s="1"/>
  <c r="BA7" i="2"/>
  <c r="BB6" i="2"/>
  <c r="X9" i="2"/>
  <c r="X40" i="2" s="1"/>
  <c r="Y4" i="2"/>
  <c r="AY53" i="2"/>
  <c r="AY64" i="2" s="1"/>
  <c r="AY43" i="2"/>
  <c r="AZ22" i="2" s="1"/>
  <c r="AY42" i="2"/>
  <c r="AY44" i="2" s="1"/>
  <c r="AY65" i="2" s="1"/>
  <c r="AF68" i="2"/>
  <c r="AG23" i="2"/>
  <c r="Z4" i="2" l="1"/>
  <c r="Y9" i="2"/>
  <c r="Y40" i="2" s="1"/>
  <c r="AZ34" i="2"/>
  <c r="BC6" i="2"/>
  <c r="BB7" i="2"/>
  <c r="AG39" i="2"/>
  <c r="AG24" i="2"/>
  <c r="AH12" i="2"/>
  <c r="AH21" i="2" s="1"/>
  <c r="AC35" i="2"/>
  <c r="AB37" i="2"/>
  <c r="AB38" i="2" s="1"/>
  <c r="AB69" i="2"/>
  <c r="AZ43" i="2"/>
  <c r="BA22" i="2" s="1"/>
  <c r="AZ42" i="2"/>
  <c r="AZ44" i="2" s="1"/>
  <c r="AZ53" i="2"/>
  <c r="AZ64" i="2" s="1"/>
  <c r="AH28" i="2"/>
  <c r="BA57" i="2"/>
  <c r="BA5" i="2"/>
  <c r="AI27" i="2"/>
  <c r="AG68" i="2"/>
  <c r="AH23" i="2"/>
  <c r="AJ27" i="2" l="1"/>
  <c r="BA43" i="2"/>
  <c r="BB22" i="2" s="1"/>
  <c r="BA53" i="2"/>
  <c r="BA42" i="2"/>
  <c r="AD35" i="2"/>
  <c r="AC37" i="2"/>
  <c r="AC38" i="2" s="1"/>
  <c r="AC69" i="2"/>
  <c r="AH24" i="2"/>
  <c r="AH39" i="2"/>
  <c r="AI12" i="2"/>
  <c r="AI21" i="2" s="1"/>
  <c r="AI62" i="2"/>
  <c r="AI64" i="2" s="1"/>
  <c r="AI65" i="2" s="1"/>
  <c r="AI28" i="2"/>
  <c r="AJ28" i="2" s="1"/>
  <c r="AK28" i="2" s="1"/>
  <c r="AL28" i="2" s="1"/>
  <c r="BB57" i="2"/>
  <c r="BB5" i="2"/>
  <c r="AX2" i="2"/>
  <c r="BC7" i="2"/>
  <c r="BD6" i="2"/>
  <c r="BA34" i="2"/>
  <c r="BB34" i="2" s="1"/>
  <c r="AZ65" i="2"/>
  <c r="AA4" i="2"/>
  <c r="Z9" i="2"/>
  <c r="Z40" i="2" s="1"/>
  <c r="AH68" i="2"/>
  <c r="AI23" i="2"/>
  <c r="AM62" i="2" l="1"/>
  <c r="AM64" i="2" s="1"/>
  <c r="AM65" i="2" s="1"/>
  <c r="AM28" i="2"/>
  <c r="AN28" i="2" s="1"/>
  <c r="AO28" i="2" s="1"/>
  <c r="AP28" i="2" s="1"/>
  <c r="AJ23" i="2"/>
  <c r="AI68" i="2"/>
  <c r="AB4" i="2"/>
  <c r="AA9" i="2"/>
  <c r="AA40" i="2" s="1"/>
  <c r="BC34" i="2"/>
  <c r="BD7" i="2"/>
  <c r="BE6" i="2"/>
  <c r="BC57" i="2"/>
  <c r="BC5" i="2"/>
  <c r="AE35" i="2"/>
  <c r="AD37" i="2"/>
  <c r="AD38" i="2" s="1"/>
  <c r="AD69" i="2"/>
  <c r="BA44" i="2"/>
  <c r="BB53" i="2"/>
  <c r="BB64" i="2" s="1"/>
  <c r="BB43" i="2"/>
  <c r="BC22" i="2" s="1"/>
  <c r="BB42" i="2"/>
  <c r="BB44" i="2" s="1"/>
  <c r="BB65" i="2" s="1"/>
  <c r="AK27" i="2"/>
  <c r="AI24" i="2"/>
  <c r="AI39" i="2"/>
  <c r="AJ12" i="2"/>
  <c r="AJ21" i="2" s="1"/>
  <c r="AJ39" i="2" l="1"/>
  <c r="AK12" i="2"/>
  <c r="AK21" i="2" s="1"/>
  <c r="AJ24" i="2"/>
  <c r="AC4" i="2"/>
  <c r="AB9" i="2"/>
  <c r="AB40" i="2" s="1"/>
  <c r="AJ68" i="2"/>
  <c r="AK23" i="2"/>
  <c r="BF6" i="2"/>
  <c r="BE7" i="2"/>
  <c r="BD57" i="2"/>
  <c r="BD5" i="2"/>
  <c r="AF35" i="2"/>
  <c r="AE37" i="2"/>
  <c r="AE38" i="2" s="1"/>
  <c r="AE69" i="2"/>
  <c r="AQ62" i="2"/>
  <c r="AQ64" i="2" s="1"/>
  <c r="AQ65" i="2" s="1"/>
  <c r="AQ28" i="2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AK47" i="2"/>
  <c r="AK64" i="2" s="1"/>
  <c r="AK65" i="2" s="1"/>
  <c r="BC43" i="2"/>
  <c r="BD22" i="2" s="1"/>
  <c r="BC42" i="2"/>
  <c r="BC44" i="2" s="1"/>
  <c r="BC53" i="2"/>
  <c r="BC64" i="2" s="1"/>
  <c r="BE57" i="2" l="1"/>
  <c r="BE5" i="2"/>
  <c r="BF7" i="2"/>
  <c r="BG6" i="2"/>
  <c r="AL27" i="2"/>
  <c r="AK68" i="2"/>
  <c r="AL23" i="2"/>
  <c r="BF28" i="2"/>
  <c r="AD4" i="2"/>
  <c r="AC9" i="2"/>
  <c r="AC40" i="2" s="1"/>
  <c r="AG35" i="2"/>
  <c r="AF37" i="2"/>
  <c r="AF38" i="2" s="1"/>
  <c r="AF69" i="2"/>
  <c r="AL12" i="2"/>
  <c r="AL21" i="2" s="1"/>
  <c r="AK39" i="2"/>
  <c r="AK24" i="2"/>
  <c r="BD34" i="2"/>
  <c r="BC65" i="2"/>
  <c r="BD43" i="2"/>
  <c r="BE22" i="2" s="1"/>
  <c r="BD42" i="2"/>
  <c r="BD44" i="2" s="1"/>
  <c r="BD53" i="2"/>
  <c r="BD64" i="2" s="1"/>
  <c r="BD65" i="2" l="1"/>
  <c r="BE34" i="2"/>
  <c r="AL68" i="2"/>
  <c r="AM23" i="2"/>
  <c r="AM12" i="2"/>
  <c r="AM21" i="2" s="1"/>
  <c r="AL39" i="2"/>
  <c r="AL24" i="2"/>
  <c r="AE4" i="2"/>
  <c r="AD9" i="2"/>
  <c r="AD40" i="2" s="1"/>
  <c r="AM27" i="2"/>
  <c r="BH6" i="2"/>
  <c r="BG7" i="2"/>
  <c r="BF57" i="2"/>
  <c r="BF5" i="2"/>
  <c r="BE43" i="2"/>
  <c r="BF22" i="2" s="1"/>
  <c r="BE53" i="2"/>
  <c r="BE42" i="2"/>
  <c r="BE44" i="2" s="1"/>
  <c r="BB2" i="2"/>
  <c r="AH35" i="2"/>
  <c r="AG37" i="2"/>
  <c r="AG38" i="2" s="1"/>
  <c r="AG69" i="2"/>
  <c r="AM39" i="2" l="1"/>
  <c r="AM24" i="2"/>
  <c r="AN12" i="2"/>
  <c r="AN21" i="2" s="1"/>
  <c r="BF42" i="2"/>
  <c r="BF53" i="2"/>
  <c r="BF64" i="2" s="1"/>
  <c r="BF43" i="2"/>
  <c r="BG22" i="2" s="1"/>
  <c r="BG57" i="2"/>
  <c r="BG5" i="2"/>
  <c r="AE9" i="2"/>
  <c r="AE40" i="2" s="1"/>
  <c r="AF4" i="2"/>
  <c r="AM68" i="2"/>
  <c r="AN23" i="2"/>
  <c r="BH7" i="2"/>
  <c r="BI6" i="2"/>
  <c r="BI7" i="2" s="1"/>
  <c r="BG28" i="2"/>
  <c r="AN27" i="2"/>
  <c r="BF34" i="2"/>
  <c r="BG34" i="2" s="1"/>
  <c r="AI35" i="2"/>
  <c r="AH37" i="2"/>
  <c r="AH38" i="2" s="1"/>
  <c r="AH69" i="2"/>
  <c r="BG42" i="2" l="1"/>
  <c r="BG53" i="2"/>
  <c r="BG64" i="2" s="1"/>
  <c r="BG43" i="2"/>
  <c r="BH22" i="2" s="1"/>
  <c r="AJ35" i="2"/>
  <c r="AI37" i="2"/>
  <c r="AI38" i="2" s="1"/>
  <c r="AI69" i="2"/>
  <c r="BH34" i="2"/>
  <c r="AO27" i="2"/>
  <c r="BF2" i="2"/>
  <c r="BH28" i="2"/>
  <c r="BI28" i="2" s="1"/>
  <c r="BI57" i="2"/>
  <c r="BI5" i="2"/>
  <c r="BF44" i="2"/>
  <c r="BF65" i="2" s="1"/>
  <c r="BH57" i="2"/>
  <c r="BH5" i="2"/>
  <c r="AN68" i="2"/>
  <c r="AO23" i="2"/>
  <c r="AN39" i="2"/>
  <c r="AN24" i="2"/>
  <c r="AO12" i="2"/>
  <c r="AO21" i="2" s="1"/>
  <c r="AF9" i="2"/>
  <c r="AF40" i="2" s="1"/>
  <c r="AG4" i="2"/>
  <c r="AO68" i="2" l="1"/>
  <c r="AP23" i="2"/>
  <c r="BH53" i="2"/>
  <c r="BH64" i="2" s="1"/>
  <c r="BH43" i="2"/>
  <c r="BI22" i="2" s="1"/>
  <c r="BH42" i="2"/>
  <c r="BH44" i="2" s="1"/>
  <c r="BH65" i="2" s="1"/>
  <c r="BG44" i="2"/>
  <c r="BG65" i="2" s="1"/>
  <c r="AP12" i="2"/>
  <c r="AP21" i="2" s="1"/>
  <c r="AO39" i="2"/>
  <c r="AO24" i="2"/>
  <c r="AO47" i="2"/>
  <c r="AO64" i="2" s="1"/>
  <c r="AO65" i="2" s="1"/>
  <c r="AP27" i="2"/>
  <c r="AK35" i="2"/>
  <c r="AJ37" i="2"/>
  <c r="AJ38" i="2" s="1"/>
  <c r="AJ69" i="2"/>
  <c r="AG9" i="2"/>
  <c r="AG40" i="2" s="1"/>
  <c r="AH4" i="2"/>
  <c r="BI53" i="2"/>
  <c r="BI43" i="2"/>
  <c r="BI42" i="2"/>
  <c r="BI44" i="2" s="1"/>
  <c r="AP39" i="2" l="1"/>
  <c r="AQ12" i="2"/>
  <c r="AQ21" i="2" s="1"/>
  <c r="AP24" i="2"/>
  <c r="AH9" i="2"/>
  <c r="AH40" i="2" s="1"/>
  <c r="AI4" i="2"/>
  <c r="BI34" i="2"/>
  <c r="AL35" i="2"/>
  <c r="AK37" i="2"/>
  <c r="AK38" i="2" s="1"/>
  <c r="AK69" i="2"/>
  <c r="AQ23" i="2"/>
  <c r="AP68" i="2"/>
  <c r="AQ27" i="2"/>
  <c r="AR27" i="2" l="1"/>
  <c r="AI9" i="2"/>
  <c r="AI40" i="2" s="1"/>
  <c r="AJ4" i="2"/>
  <c r="AM35" i="2"/>
  <c r="AL37" i="2"/>
  <c r="AL38" i="2" s="1"/>
  <c r="AL69" i="2"/>
  <c r="AQ39" i="2"/>
  <c r="AR12" i="2"/>
  <c r="AR21" i="2" s="1"/>
  <c r="AQ24" i="2"/>
  <c r="AQ68" i="2"/>
  <c r="AR23" i="2"/>
  <c r="AR24" i="2" l="1"/>
  <c r="AS12" i="2"/>
  <c r="AS21" i="2" s="1"/>
  <c r="AR39" i="2"/>
  <c r="AJ9" i="2"/>
  <c r="AJ40" i="2" s="1"/>
  <c r="AK4" i="2"/>
  <c r="AN35" i="2"/>
  <c r="AM37" i="2"/>
  <c r="AM38" i="2" s="1"/>
  <c r="AM69" i="2"/>
  <c r="AR68" i="2"/>
  <c r="AS23" i="2"/>
  <c r="AS27" i="2"/>
  <c r="AS68" i="2" l="1"/>
  <c r="AT23" i="2"/>
  <c r="AO35" i="2"/>
  <c r="AN37" i="2"/>
  <c r="AN38" i="2" s="1"/>
  <c r="AN69" i="2"/>
  <c r="AK9" i="2"/>
  <c r="AK40" i="2" s="1"/>
  <c r="AL4" i="2"/>
  <c r="AS24" i="2"/>
  <c r="AS39" i="2"/>
  <c r="AS47" i="2"/>
  <c r="AS64" i="2" s="1"/>
  <c r="AS65" i="2" s="1"/>
  <c r="AT12" i="2" s="1"/>
  <c r="AT21" i="2" s="1"/>
  <c r="AT24" i="2" l="1"/>
  <c r="AU12" i="2"/>
  <c r="AU21" i="2" s="1"/>
  <c r="AL9" i="2"/>
  <c r="AL40" i="2" s="1"/>
  <c r="AM4" i="2"/>
  <c r="AP35" i="2"/>
  <c r="AO37" i="2"/>
  <c r="AO38" i="2" s="1"/>
  <c r="AO69" i="2"/>
  <c r="AT27" i="2"/>
  <c r="AT68" i="2"/>
  <c r="AU23" i="2"/>
  <c r="AV23" i="2" l="1"/>
  <c r="AU68" i="2"/>
  <c r="AU27" i="2"/>
  <c r="AQ35" i="2"/>
  <c r="AP37" i="2"/>
  <c r="AP38" i="2" s="1"/>
  <c r="AP69" i="2"/>
  <c r="AN4" i="2"/>
  <c r="AM9" i="2"/>
  <c r="AM40" i="2" s="1"/>
  <c r="AU24" i="2"/>
  <c r="AV12" i="2"/>
  <c r="AV21" i="2" s="1"/>
  <c r="AT39" i="2"/>
  <c r="AV24" i="2" l="1"/>
  <c r="AW12" i="2"/>
  <c r="AW21" i="2" s="1"/>
  <c r="AO4" i="2"/>
  <c r="AN9" i="2"/>
  <c r="AN40" i="2" s="1"/>
  <c r="AR35" i="2"/>
  <c r="AQ37" i="2"/>
  <c r="AQ38" i="2" s="1"/>
  <c r="AQ69" i="2"/>
  <c r="AV27" i="2"/>
  <c r="AU39" i="2"/>
  <c r="AW23" i="2"/>
  <c r="AV68" i="2"/>
  <c r="AS35" i="2" l="1"/>
  <c r="AR37" i="2"/>
  <c r="AR38" i="2" s="1"/>
  <c r="AR69" i="2"/>
  <c r="AW27" i="2"/>
  <c r="AP4" i="2"/>
  <c r="AO9" i="2"/>
  <c r="AO40" i="2" s="1"/>
  <c r="AV39" i="2"/>
  <c r="AW68" i="2"/>
  <c r="AX23" i="2"/>
  <c r="AW24" i="2"/>
  <c r="AY23" i="2" l="1"/>
  <c r="AX68" i="2"/>
  <c r="AP9" i="2"/>
  <c r="AP40" i="2" s="1"/>
  <c r="AQ4" i="2"/>
  <c r="AW47" i="2"/>
  <c r="AW64" i="2" s="1"/>
  <c r="AW65" i="2" s="1"/>
  <c r="AX12" i="2" s="1"/>
  <c r="AX21" i="2" s="1"/>
  <c r="AW39" i="2"/>
  <c r="AT35" i="2"/>
  <c r="AS37" i="2"/>
  <c r="AS38" i="2" s="1"/>
  <c r="AS69" i="2"/>
  <c r="AU35" i="2" l="1"/>
  <c r="AT69" i="2"/>
  <c r="AT37" i="2"/>
  <c r="AT38" i="2" s="1"/>
  <c r="AY12" i="2"/>
  <c r="AY21" i="2" s="1"/>
  <c r="AX24" i="2"/>
  <c r="AX27" i="2"/>
  <c r="AR4" i="2"/>
  <c r="AQ9" i="2"/>
  <c r="AQ40" i="2" s="1"/>
  <c r="AY68" i="2"/>
  <c r="AZ23" i="2"/>
  <c r="AY27" i="2" l="1"/>
  <c r="AX39" i="2"/>
  <c r="BA23" i="2"/>
  <c r="AZ68" i="2"/>
  <c r="AS4" i="2"/>
  <c r="AR9" i="2"/>
  <c r="AR40" i="2" s="1"/>
  <c r="AY39" i="2"/>
  <c r="AY24" i="2"/>
  <c r="AZ12" i="2"/>
  <c r="AZ21" i="2" s="1"/>
  <c r="AV35" i="2"/>
  <c r="AU37" i="2"/>
  <c r="AU38" i="2" s="1"/>
  <c r="AU69" i="2"/>
  <c r="AZ24" i="2" l="1"/>
  <c r="BA12" i="2"/>
  <c r="BA21" i="2" s="1"/>
  <c r="AS9" i="2"/>
  <c r="AS40" i="2" s="1"/>
  <c r="AT4" i="2"/>
  <c r="BA68" i="2"/>
  <c r="BB23" i="2"/>
  <c r="AZ27" i="2"/>
  <c r="AW35" i="2"/>
  <c r="AV37" i="2"/>
  <c r="AV38" i="2" s="1"/>
  <c r="AV69" i="2"/>
  <c r="AX35" i="2" l="1"/>
  <c r="AW69" i="2"/>
  <c r="AW37" i="2"/>
  <c r="AW38" i="2" s="1"/>
  <c r="BC23" i="2"/>
  <c r="BB68" i="2"/>
  <c r="BA27" i="2"/>
  <c r="AT9" i="2"/>
  <c r="AT40" i="2" s="1"/>
  <c r="AU4" i="2"/>
  <c r="AZ39" i="2"/>
  <c r="BA24" i="2"/>
  <c r="AU9" i="2" l="1"/>
  <c r="AU40" i="2" s="1"/>
  <c r="AV4" i="2"/>
  <c r="BA47" i="2"/>
  <c r="BA64" i="2" s="1"/>
  <c r="BA65" i="2" s="1"/>
  <c r="BB12" i="2" s="1"/>
  <c r="BB21" i="2" s="1"/>
  <c r="BC68" i="2"/>
  <c r="BD23" i="2"/>
  <c r="BA39" i="2"/>
  <c r="AY35" i="2"/>
  <c r="AX69" i="2"/>
  <c r="AX37" i="2"/>
  <c r="AX38" i="2" s="1"/>
  <c r="BB24" i="2" l="1"/>
  <c r="BC12" i="2"/>
  <c r="BC21" i="2" s="1"/>
  <c r="AZ35" i="2"/>
  <c r="AY69" i="2"/>
  <c r="AY37" i="2"/>
  <c r="AY38" i="2" s="1"/>
  <c r="BD68" i="2"/>
  <c r="BE23" i="2"/>
  <c r="BB27" i="2"/>
  <c r="AV9" i="2"/>
  <c r="AV40" i="2" s="1"/>
  <c r="AW4" i="2"/>
  <c r="AW9" i="2" l="1"/>
  <c r="AW40" i="2" s="1"/>
  <c r="AX4" i="2"/>
  <c r="BC27" i="2"/>
  <c r="BE68" i="2"/>
  <c r="BF23" i="2"/>
  <c r="BA35" i="2"/>
  <c r="AZ69" i="2"/>
  <c r="AZ37" i="2"/>
  <c r="AZ38" i="2" s="1"/>
  <c r="BC39" i="2"/>
  <c r="BC24" i="2"/>
  <c r="BD12" i="2"/>
  <c r="BD21" i="2" s="1"/>
  <c r="BB39" i="2"/>
  <c r="BB35" i="2" l="1"/>
  <c r="BA69" i="2"/>
  <c r="BA37" i="2"/>
  <c r="BA38" i="2" s="1"/>
  <c r="AY4" i="2"/>
  <c r="AX9" i="2"/>
  <c r="AX40" i="2" s="1"/>
  <c r="BF68" i="2"/>
  <c r="BG23" i="2"/>
  <c r="BD27" i="2"/>
  <c r="BD24" i="2"/>
  <c r="BE12" i="2"/>
  <c r="BE21" i="2" s="1"/>
  <c r="BE27" i="2" l="1"/>
  <c r="BG68" i="2"/>
  <c r="BH23" i="2"/>
  <c r="AZ4" i="2"/>
  <c r="AY9" i="2"/>
  <c r="AY40" i="2" s="1"/>
  <c r="BE39" i="2"/>
  <c r="BE24" i="2"/>
  <c r="BC35" i="2"/>
  <c r="BB69" i="2"/>
  <c r="BB37" i="2"/>
  <c r="BB38" i="2" s="1"/>
  <c r="BD39" i="2"/>
  <c r="BD35" i="2" l="1"/>
  <c r="BC69" i="2"/>
  <c r="BC37" i="2"/>
  <c r="BC38" i="2" s="1"/>
  <c r="BH68" i="2"/>
  <c r="BI23" i="2"/>
  <c r="BI68" i="2" s="1"/>
  <c r="BE47" i="2"/>
  <c r="BE64" i="2" s="1"/>
  <c r="BE65" i="2" s="1"/>
  <c r="BF12" i="2" s="1"/>
  <c r="BF21" i="2" s="1"/>
  <c r="BF27" i="2"/>
  <c r="BA4" i="2"/>
  <c r="AZ9" i="2"/>
  <c r="AZ40" i="2" s="1"/>
  <c r="BB4" i="2" l="1"/>
  <c r="BA9" i="2"/>
  <c r="BA40" i="2" s="1"/>
  <c r="BG27" i="2"/>
  <c r="BF24" i="2"/>
  <c r="BF39" i="2"/>
  <c r="BG12" i="2"/>
  <c r="BG21" i="2" s="1"/>
  <c r="BE35" i="2"/>
  <c r="BD69" i="2"/>
  <c r="BD37" i="2"/>
  <c r="BD38" i="2" s="1"/>
  <c r="BF35" i="2" l="1"/>
  <c r="BE69" i="2"/>
  <c r="BE37" i="2"/>
  <c r="BE38" i="2" s="1"/>
  <c r="BG39" i="2"/>
  <c r="BG24" i="2"/>
  <c r="BH12" i="2"/>
  <c r="BH21" i="2" s="1"/>
  <c r="BH27" i="2"/>
  <c r="BB9" i="2"/>
  <c r="BB40" i="2" s="1"/>
  <c r="BC4" i="2"/>
  <c r="BH24" i="2" l="1"/>
  <c r="BI12" i="2"/>
  <c r="BI21" i="2" s="1"/>
  <c r="BH39" i="2"/>
  <c r="BD4" i="2"/>
  <c r="BC9" i="2"/>
  <c r="BC40" i="2" s="1"/>
  <c r="BI27" i="2"/>
  <c r="BG35" i="2"/>
  <c r="BF69" i="2"/>
  <c r="BF37" i="2"/>
  <c r="BF38" i="2" s="1"/>
  <c r="BI47" i="2" l="1"/>
  <c r="BI64" i="2" s="1"/>
  <c r="BI65" i="2" s="1"/>
  <c r="BH35" i="2"/>
  <c r="BG69" i="2"/>
  <c r="BG37" i="2"/>
  <c r="BG38" i="2" s="1"/>
  <c r="BD9" i="2"/>
  <c r="BD40" i="2" s="1"/>
  <c r="BE4" i="2"/>
  <c r="BI24" i="2"/>
  <c r="BI39" i="2"/>
  <c r="BE9" i="2" l="1"/>
  <c r="BE40" i="2" s="1"/>
  <c r="BF4" i="2"/>
  <c r="BI35" i="2"/>
  <c r="BH69" i="2"/>
  <c r="BH37" i="2"/>
  <c r="BH38" i="2" s="1"/>
  <c r="BI69" i="2" l="1"/>
  <c r="BI37" i="2"/>
  <c r="BI38" i="2" s="1"/>
  <c r="BF9" i="2"/>
  <c r="BF40" i="2" s="1"/>
  <c r="BG4" i="2"/>
  <c r="BG9" i="2" l="1"/>
  <c r="BG40" i="2" s="1"/>
  <c r="BH4" i="2"/>
  <c r="BH9" i="2" l="1"/>
  <c r="BH40" i="2" s="1"/>
  <c r="BI4" i="2"/>
  <c r="BI9" i="2" s="1"/>
  <c r="BI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tc={7ce28524-f4b5-439e-9ffc-78d819aeafc7}</author>
    <author>tc={f78a28b5-d116-4324-acf3-4dd22694f504}</author>
    <author>tc={d73e6323-259b-4c2e-a685-c3fceb4f12e5}</author>
    <author>tc={edcae328-dda5-4b6b-bbb4-1accc50db83f}</author>
    <author>tc={627ab5b3-72be-493f-8304-ab3c194f253e}</author>
    <author>tc={f96345a8-1282-4475-aeef-e2743992c285}</author>
    <author>tc={3aed4409-347c-4d4f-8b22-cdb5364fc912}</author>
    <author>tc={263647c9-fd02-482c-87e7-77f15fb4e38a}</author>
    <author>tc={bc052103-f479-4520-aea0-39da2f319509}</author>
    <author>tc={8f6d437b-c377-4e21-abf6-5ba541ff4b82}</author>
    <author>tc={c4484b06-1070-4b0e-ab5c-24ed15748276}</author>
    <author>tc={ac004b2d-55aa-486e-b6ff-6bb78547c3e3}</author>
    <author>tc={b535e7d0-4d5c-498d-9d82-baa44336592f}</author>
    <author>tc={5200677b-3553-4490-a26d-7459cde029b9}</author>
    <author>tc={1a78cb52-bcd3-4870-a2a2-323c19a2f57c}</author>
    <author>tc={1b17904f-a305-40d6-b77e-997d8680bf6c}</author>
    <author>tc={b72702d7-2ce1-4271-bab1-ad7a77e93d69}</author>
    <author>tc={43930ab0-9b16-41aa-a4b9-8eb03a5b9b04}</author>
    <author>tc={f1510599-8511-434f-9e65-f643f9d0e241}</author>
    <author>tc={cfbe20e7-ccb5-4c66-a092-a0c8696e9157}</author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 xml:space="preserve">Input your landed cost - will reduce your inventory balance every week
</t>
        </r>
      </text>
    </comment>
    <comment ref="K22" authorId="1" shapeId="0" xr:uid="{7CE28524-F4B5-439E-9FFC-78D819AEAFC7}">
      <text>
        <t>[Threaded comment]
Your version of Excel allows you to read this threaded comment; however, any edits to it will get removed if the file is opened in a newer version of Excel. Learn more: https://go.microsoft.com/fwlink/?linkid=870924
Comment:
    30% stock threshold of staples</t>
      </text>
    </comment>
    <comment ref="I23" authorId="2" shapeId="0" xr:uid="{F78A28B5-D116-4324-ACF3-4DD22694F504}">
      <text>
        <t>[Threaded comment]
Your version of Excel allows you to read this threaded comment; however, any edits to it will get removed if the file is opened in a newer version of Excel. Learn more: https://go.microsoft.com/fwlink/?linkid=870924
Comment:
    MATIAS $200</t>
      </text>
    </comment>
    <comment ref="Z23" authorId="3" shapeId="0" xr:uid="{D73E6323-259B-4C2E-A685-C3FCEB4F12E5}">
      <text>
        <t>[Threaded comment]
Your version of Excel allows you to read this threaded comment; however, any edits to it will get removed if the file is opened in a newer version of Excel. Learn more: https://go.microsoft.com/fwlink/?linkid=870924
Comment:
    9% profit unlocked</t>
      </text>
    </comment>
    <comment ref="AD23" authorId="4" shapeId="0" xr:uid="{EDCAE328-DDA5-4B6B-BBB4-1ACCC50DB83F}">
      <text>
        <t>[Threaded comment]
Your version of Excel allows you to read this threaded comment; however, any edits to it will get removed if the file is opened in a newer version of Excel. Learn more: https://go.microsoft.com/fwlink/?linkid=870924
Comment:
    6% profit unlocked</t>
      </text>
    </comment>
    <comment ref="I27" authorId="5" shapeId="0" xr:uid="{627AB5B3-72BE-493F-8304-AB3C194F253E}">
      <text>
        <t>[Threaded comment]
Your version of Excel allows you to read this threaded comment; however, any edits to it will get removed if the file is opened in a newer version of Excel. Learn more: https://go.microsoft.com/fwlink/?linkid=870924
Comment:
    $1000 CHASE REWARDS NEED TO HIT</t>
      </text>
    </comment>
    <comment ref="J29" authorId="6" shapeId="0" xr:uid="{F96345A8-1282-4475-AEEF-E2743992C285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include it</t>
      </text>
    </comment>
    <comment ref="B48" authorId="7" shapeId="0" xr:uid="{3AED4409-347C-4D4F-8B22-CDB5364FC91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can we reconcile this for Ops Engine payment dates</t>
      </text>
    </comment>
    <comment ref="G49" authorId="8" shapeId="0" xr:uid="{263647C9-FD02-482C-87E7-77F15FB4E38A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franchise tax</t>
      </text>
    </comment>
    <comment ref="N49" authorId="9" shapeId="0" xr:uid="{BC052103-F479-4520-AEA0-39DA2F319509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franchise tax</t>
      </text>
    </comment>
    <comment ref="R49" authorId="10" shapeId="0" xr:uid="{8F6D437B-C377-4E21-ABF6-5BA541FF4B82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franchise tax</t>
      </text>
    </comment>
    <comment ref="M51" authorId="11" shapeId="0" xr:uid="{C4484B06-1070-4B0E-AB5C-24ED15748276}">
      <text>
        <t>[Threaded comment]
Your version of Excel allows you to read this threaded comment; however, any edits to it will get removed if the file is opened in a newer version of Excel. Learn more: https://go.microsoft.com/fwlink/?linkid=870924
Comment:
    s-corp annual report</t>
      </text>
    </comment>
    <comment ref="R51" authorId="12" shapeId="0" xr:uid="{AC004B2D-55AA-486E-B6FF-6BB78547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s-corp annual report</t>
      </text>
    </comment>
    <comment ref="W51" authorId="13" shapeId="0" xr:uid="{B535E7D0-4D5C-498D-9D82-BAA44336592F}">
      <text>
        <t>[Threaded comment]
Your version of Excel allows you to read this threaded comment; however, any edits to it will get removed if the file is opened in a newer version of Excel. Learn more: https://go.microsoft.com/fwlink/?linkid=870924
Comment:
    s-corp annual report</t>
      </text>
    </comment>
    <comment ref="Y53" authorId="0" shapeId="0" xr:uid="{00000000-0006-0000-0100-000002000000}">
      <text>
        <r>
          <rPr>
            <sz val="11"/>
            <color theme="1"/>
            <rFont val="Calibri"/>
            <scheme val="minor"/>
          </rPr>
          <t>MUST BE AT $12897 - 30% PAID OFF</t>
        </r>
      </text>
    </comment>
    <comment ref="Q54" authorId="14" shapeId="0" xr:uid="{5200677B-3553-4490-A26D-7459CDE029B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Chase bonus</t>
      </text>
    </comment>
    <comment ref="G59" authorId="15" shapeId="0" xr:uid="{1A78CB52-BCD3-4870-A2A2-323C19A2F57C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scorp tax bill</t>
      </text>
    </comment>
    <comment ref="N59" authorId="16" shapeId="0" xr:uid="{1B17904F-A305-40D6-B77E-997D8680BF6C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scorp tax bill</t>
      </text>
    </comment>
    <comment ref="R59" authorId="17" shapeId="0" xr:uid="{B72702D7-2CE1-4271-BAB1-AD7A77E93D69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franchise tax + $30 on scorp annual report</t>
      </text>
    </comment>
    <comment ref="W59" authorId="18" shapeId="0" xr:uid="{43930AB0-9B16-41AA-A4B9-8EB03A5B9B04}">
      <text>
        <t>[Threaded comment]
Your version of Excel allows you to read this threaded comment; however, any edits to it will get removed if the file is opened in a newer version of Excel. Learn more: https://go.microsoft.com/fwlink/?linkid=870924
Comment:
    s-corp annual report</t>
      </text>
    </comment>
    <comment ref="I62" authorId="19" shapeId="0" xr:uid="{F1510599-8511-434F-9E65-F643F9D0E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tom $85</t>
      </text>
    </comment>
    <comment ref="I81" authorId="20" shapeId="0" xr:uid="{CFBE20E7-CCB5-4C66-A092-A0C8696E9157}">
      <text>
        <t>[Threaded comment]
Your version of Excel allows you to read this threaded comment; however, any edits to it will get removed if the file is opened in a newer version of Excel. Learn more: https://go.microsoft.com/fwlink/?linkid=870924
Comment:
    tried meds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tc={b100cb31-bcfb-4f1f-9824-a44859b68e71}</author>
    <author>tc={7f78e71d-1652-46a3-8f00-47f9ab502a68}</author>
    <author/>
  </authors>
  <commentList>
    <comment ref="C10" authorId="0" shapeId="0" xr:uid="{B100CB31-BCFB-4F1F-9824-A44859B68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cancel and get 1 month free on feb25</t>
      </text>
    </comment>
    <comment ref="C12" authorId="1" shapeId="0" xr:uid="{7F78E71D-1652-46A3-8F00-47F9AB50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markus subscription</t>
      </text>
    </comment>
    <comment ref="C20" authorId="2" shapeId="0" xr:uid="{00000000-0006-0000-0200-000001000000}">
      <text>
        <r>
          <rPr>
            <sz val="11"/>
            <color theme="1"/>
            <rFont val="Calibri"/>
            <scheme val="minor"/>
          </rPr>
          <t xml:space="preserve">90 days free
</t>
        </r>
      </text>
    </comment>
    <comment ref="C22" authorId="2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cancel by apr 13th!!
</t>
        </r>
      </text>
    </comment>
  </commentList>
</comments>
</file>

<file path=xl/sharedStrings.xml><?xml version="1.0" encoding="utf-8"?>
<sst xmlns="http://schemas.openxmlformats.org/spreadsheetml/2006/main" count="233" uniqueCount="186">
  <si>
    <t>Variable Overhead</t>
  </si>
  <si>
    <t>Shopify Capital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</si>
  <si>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</si>
  <si>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</si>
  <si>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</si>
  <si>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</si>
  <si>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</si>
  <si>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</si>
  <si>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</si>
  <si>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</si>
  <si>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</si>
  <si>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</si>
  <si>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</si>
  <si>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</si>
  <si>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Week</t>
  </si>
  <si>
    <r>
      <rPr>
        <b/>
        <sz val="12"/>
        <color rgb="FFFFFFFF"/>
        <rFont val="Calibri"/>
        <family val="2"/>
      </rPr>
      <t xml:space="preserve">Revenue Run Rate </t>
    </r>
    <r>
      <rPr>
        <sz val="8"/>
        <color rgb="FFFFFFFF"/>
        <rFont val="Calibri"/>
        <family val="2"/>
      </rPr>
      <t>As Of</t>
    </r>
  </si>
  <si>
    <t>H1 Growth</t>
  </si>
  <si>
    <t>Shopify Store</t>
  </si>
  <si>
    <t>Daily Spend</t>
  </si>
  <si>
    <t>MER</t>
  </si>
  <si>
    <t>FB Ad Spend</t>
  </si>
  <si>
    <t>COGS %</t>
  </si>
  <si>
    <r>
      <rPr>
        <b/>
        <sz val="12"/>
        <color rgb="FFFFFFFF"/>
        <rFont val="Calibri"/>
        <family val="2"/>
      </rPr>
      <t xml:space="preserve">Balance Sheet </t>
    </r>
    <r>
      <rPr>
        <i/>
        <sz val="8"/>
        <color rgb="FFFFFFFF"/>
        <rFont val="Calibri"/>
        <family val="2"/>
      </rPr>
      <t>As Of</t>
    </r>
  </si>
  <si>
    <t>Weekly Growth</t>
  </si>
  <si>
    <t>TARIFF</t>
  </si>
  <si>
    <t>Shopify Payouts</t>
  </si>
  <si>
    <t>Profit %</t>
  </si>
  <si>
    <t>SB - Main (9773)</t>
  </si>
  <si>
    <t>SB - Sales Tax (6735)</t>
  </si>
  <si>
    <t>SB - Corporate Tax (6735)</t>
  </si>
  <si>
    <t>Shopify Capital Repayment</t>
  </si>
  <si>
    <t>Inventory Cash on Hand</t>
  </si>
  <si>
    <t>PO</t>
  </si>
  <si>
    <t>Leftover</t>
  </si>
  <si>
    <t>AUG PO 30%</t>
  </si>
  <si>
    <t>Total Cash On Hand</t>
  </si>
  <si>
    <t>Inventory</t>
  </si>
  <si>
    <t>Working Capital (2465)</t>
  </si>
  <si>
    <t>Total Assets</t>
  </si>
  <si>
    <t>ST Liabilities</t>
  </si>
  <si>
    <t xml:space="preserve">      </t>
  </si>
  <si>
    <t>Ads Payable (01000)</t>
  </si>
  <si>
    <t>Fullfillment Payable (2907)</t>
  </si>
  <si>
    <t>Paid In Capital</t>
  </si>
  <si>
    <t>LT Liabilities</t>
  </si>
  <si>
    <t>OPEX CARDS</t>
  </si>
  <si>
    <t>CHASE 5718</t>
  </si>
  <si>
    <t>AMEX PLUM 0000</t>
  </si>
  <si>
    <t>AMEX BLUE 71005</t>
  </si>
  <si>
    <t>Long Term Loan</t>
  </si>
  <si>
    <t>Total Liabilities</t>
  </si>
  <si>
    <t>Total Equity</t>
  </si>
  <si>
    <t>Net Cash of ST Liabilities</t>
  </si>
  <si>
    <r>
      <rPr>
        <sz val="8"/>
        <color rgb="FFFFFFFF"/>
        <rFont val="Calibri"/>
        <family val="2"/>
      </rPr>
      <t>Projected</t>
    </r>
    <r>
      <rPr>
        <b/>
        <sz val="12"/>
        <color rgb="FFFFFFFF"/>
        <rFont val="Calibri"/>
        <family val="2"/>
      </rPr>
      <t xml:space="preserve"> Statement of Cashflows </t>
    </r>
    <r>
      <rPr>
        <i/>
        <sz val="8"/>
        <color rgb="FFFFFFFF"/>
        <rFont val="Calibri"/>
        <family val="2"/>
      </rPr>
      <t>For WK Starting</t>
    </r>
  </si>
  <si>
    <t>PP %</t>
  </si>
  <si>
    <t>Inflows</t>
  </si>
  <si>
    <t>Online Store</t>
  </si>
  <si>
    <t>Transfer to WC (6848)</t>
  </si>
  <si>
    <t>Total Inflows</t>
  </si>
  <si>
    <t>Fulfillment %</t>
  </si>
  <si>
    <t>Outflows</t>
  </si>
  <si>
    <t>"225</t>
  </si>
  <si>
    <t>Working Capital</t>
  </si>
  <si>
    <t>LT Loan (Nathan)</t>
  </si>
  <si>
    <t>% of Ad Spend</t>
  </si>
  <si>
    <t>Fixed Overhead</t>
  </si>
  <si>
    <t>Creative Production</t>
  </si>
  <si>
    <t>Salary</t>
  </si>
  <si>
    <t>G&amp;A</t>
  </si>
  <si>
    <t>R&amp;D</t>
  </si>
  <si>
    <t>Interest</t>
  </si>
  <si>
    <t>Fulfillment</t>
  </si>
  <si>
    <t>Total Outflows</t>
  </si>
  <si>
    <t>Net Cash Flow</t>
  </si>
  <si>
    <t>Week #</t>
  </si>
  <si>
    <t>WORKING CAPITAL</t>
  </si>
  <si>
    <t>Owed</t>
  </si>
  <si>
    <r>
      <rPr>
        <b/>
        <sz val="12"/>
        <color rgb="FFFFFFFF"/>
        <rFont val="Calibri"/>
        <family val="2"/>
      </rPr>
      <t xml:space="preserve">Key Performance Indicators </t>
    </r>
    <r>
      <rPr>
        <i/>
        <sz val="8"/>
        <color rgb="FFFFFFFF"/>
        <rFont val="Calibri"/>
        <family val="2"/>
      </rPr>
      <t>For WK Ending</t>
    </r>
  </si>
  <si>
    <t>Contribution Margin</t>
  </si>
  <si>
    <t>Net Profit</t>
  </si>
  <si>
    <t>NC CPA</t>
  </si>
  <si>
    <t>WoM</t>
  </si>
  <si>
    <t>EC Revenue</t>
  </si>
  <si>
    <t>Rev/m</t>
  </si>
  <si>
    <t>Rev/wk</t>
  </si>
  <si>
    <t>Rev /d</t>
  </si>
  <si>
    <t>Spend /d</t>
  </si>
  <si>
    <t>Annual G&amp;A</t>
  </si>
  <si>
    <t>Monthly G&amp;A</t>
  </si>
  <si>
    <t>Legal</t>
  </si>
  <si>
    <t>Cost</t>
  </si>
  <si>
    <t>Monthly</t>
  </si>
  <si>
    <t>Active Accounts</t>
  </si>
  <si>
    <t>Total</t>
  </si>
  <si>
    <t>Date</t>
  </si>
  <si>
    <t>rev/mo</t>
  </si>
  <si>
    <t>Yearly</t>
  </si>
  <si>
    <t>Cash Flow</t>
  </si>
  <si>
    <t>Amount</t>
  </si>
  <si>
    <t>Subscriptions</t>
  </si>
  <si>
    <t>Mandatory</t>
  </si>
  <si>
    <t>Slack</t>
  </si>
  <si>
    <t>18th</t>
  </si>
  <si>
    <t>Franchise Tax</t>
  </si>
  <si>
    <t>Mar 1st</t>
  </si>
  <si>
    <t>1st Week</t>
  </si>
  <si>
    <t>1 to 7</t>
  </si>
  <si>
    <t>Google</t>
  </si>
  <si>
    <t>1st</t>
  </si>
  <si>
    <t>Filing fees</t>
  </si>
  <si>
    <t>Apr 15th</t>
  </si>
  <si>
    <t>2nd Week</t>
  </si>
  <si>
    <t>8 to 14</t>
  </si>
  <si>
    <t>Shopify</t>
  </si>
  <si>
    <t>29th</t>
  </si>
  <si>
    <t>Agent fee</t>
  </si>
  <si>
    <t>Sept 6th</t>
  </si>
  <si>
    <t>3rd Week</t>
  </si>
  <si>
    <t>15 to 22</t>
  </si>
  <si>
    <t>Finaloop</t>
  </si>
  <si>
    <t>28th</t>
  </si>
  <si>
    <t>Plum Card</t>
  </si>
  <si>
    <t>Nov 14th</t>
  </si>
  <si>
    <t>4th Week</t>
  </si>
  <si>
    <t>23 to 30</t>
  </si>
  <si>
    <t>Phone</t>
  </si>
  <si>
    <t>Chase Biz Preferred</t>
  </si>
  <si>
    <t>Mar 8th</t>
  </si>
  <si>
    <t>Kintsugi</t>
  </si>
  <si>
    <t>30th</t>
  </si>
  <si>
    <t>Notion</t>
  </si>
  <si>
    <t>Revenue / Cost</t>
  </si>
  <si>
    <t>Klaviyo</t>
  </si>
  <si>
    <t>20th</t>
  </si>
  <si>
    <t>Kleio</t>
  </si>
  <si>
    <t>Higgsfield</t>
  </si>
  <si>
    <t>2nd</t>
  </si>
  <si>
    <t>/mo</t>
  </si>
  <si>
    <t>/yr</t>
  </si>
  <si>
    <t>Foreplay</t>
  </si>
  <si>
    <t>Claude</t>
  </si>
  <si>
    <t>12th</t>
  </si>
  <si>
    <t>Computer</t>
  </si>
  <si>
    <t>Luxury</t>
  </si>
  <si>
    <t>Adobe</t>
  </si>
  <si>
    <t>8th</t>
  </si>
  <si>
    <t>Clo3d</t>
  </si>
  <si>
    <t>9th</t>
  </si>
  <si>
    <t>Microsoft</t>
  </si>
  <si>
    <t>13th</t>
  </si>
  <si>
    <t>AquaVoice</t>
  </si>
  <si>
    <t>4th</t>
  </si>
  <si>
    <t>Figma</t>
  </si>
  <si>
    <t>NordPass</t>
  </si>
  <si>
    <t>Admin &amp; Tech</t>
  </si>
  <si>
    <t>7th</t>
  </si>
  <si>
    <t>Bins</t>
  </si>
  <si>
    <t>Pallets</t>
  </si>
  <si>
    <t>Returns</t>
  </si>
  <si>
    <t>Nathan Belete</t>
  </si>
  <si>
    <t>Payroll</t>
  </si>
  <si>
    <t>Matias Belete - 1</t>
  </si>
  <si>
    <t>16th</t>
  </si>
  <si>
    <t>Matias Belete - 2</t>
  </si>
  <si>
    <t>Scale Software</t>
  </si>
  <si>
    <t>Marketing</t>
  </si>
  <si>
    <t>Smile Loyalty</t>
  </si>
  <si>
    <t>Scaling Software</t>
  </si>
  <si>
    <t>Mida Heatmap</t>
  </si>
  <si>
    <t>Replo LDPs</t>
  </si>
  <si>
    <t>Intelligems</t>
  </si>
  <si>
    <t>Motion</t>
  </si>
  <si>
    <t>Manus</t>
  </si>
  <si>
    <t>Virtue - Charity</t>
  </si>
  <si>
    <t>Product</t>
  </si>
  <si>
    <t>Pantone Connect</t>
  </si>
  <si>
    <t>Particl</t>
  </si>
  <si>
    <t>Operations</t>
  </si>
  <si>
    <t>Shopify Grow</t>
  </si>
  <si>
    <t>Loom</t>
  </si>
  <si>
    <t>Rich Panel</t>
  </si>
  <si>
    <t>Kiwi Size Chart</t>
  </si>
  <si>
    <t>Delivery Date</t>
  </si>
  <si>
    <t>Aftersell</t>
  </si>
  <si>
    <t>AfterShip Returns</t>
  </si>
  <si>
    <t>Gusto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</si>
</sst>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9" formatCode="0.0%"/>
    <numFmt numFmtId="170" formatCode="&quot;$&quot;#,##0.00"/>
    <numFmt numFmtId="171" formatCode="&quot;$&quot;#,##0"/>
    <numFmt numFmtId="172" formatCode="_(* #,##0_);_(* \(#,##0\);_(* &quot;-&quot;??_);_(@_)"/>
    <numFmt numFmtId="176" formatCode="m/d"/>
    <numFmt numFmtId="177" formatCode="[$$]#,##0"/>
    <numFmt numFmtId="178" formatCode="#,##0.0"/>
    <numFmt numFmtId="179" formatCode="mmm\ d"/>
  </numFmts>
  <fonts count="6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8"/>
      <color theme="1"/>
      <name val="Calibri"/>
      <family val="2"/>
    </font>
    <font>
      <sz val="12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2"/>
      <color rgb="FFFFFFFF"/>
      <name val="Calibri"/>
      <family val="2"/>
    </font>
    <font>
      <b/>
      <i/>
      <sz val="12"/>
      <color rgb="FFFFFFFF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  <font>
      <b/>
      <i/>
      <sz val="8"/>
      <color rgb="FFB7B7B7"/>
      <name val="Calibri"/>
      <family val="2"/>
    </font>
    <font>
      <i/>
      <sz val="12"/>
      <color rgb="FF000000"/>
      <name val="Calibri"/>
      <family val="2"/>
    </font>
    <font>
      <i/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2"/>
      <color rgb="FFEFEFEF"/>
      <name val="Calibri"/>
      <family val="2"/>
    </font>
    <font>
      <b/>
      <i/>
      <sz val="9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2"/>
      <color rgb="FF38761D"/>
      <name val="Calibri"/>
      <family val="2"/>
    </font>
    <font>
      <b/>
      <sz val="9"/>
      <color rgb="FF38761D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trike/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9"/>
      <color rgb="FFFF0000"/>
      <name val="Calibri"/>
      <family val="2"/>
    </font>
    <font>
      <b/>
      <sz val="9"/>
      <color rgb="FF9900FF"/>
      <name val="Calibri"/>
      <family val="2"/>
    </font>
    <font>
      <b/>
      <sz val="12"/>
      <color rgb="FF9900FF"/>
      <name val="Calibri"/>
      <family val="2"/>
    </font>
    <font>
      <b/>
      <i/>
      <sz val="12"/>
      <color rgb="FF9900FF"/>
      <name val="Calibri"/>
      <family val="2"/>
    </font>
    <font>
      <b/>
      <i/>
      <sz val="9"/>
      <color rgb="FFB7B7B7"/>
      <name val="Calibri"/>
      <family val="2"/>
    </font>
    <font>
      <b/>
      <i/>
      <sz val="12"/>
      <color rgb="FFB7B7B7"/>
      <name val="Calibri"/>
      <family val="2"/>
    </font>
    <font>
      <i/>
      <sz val="11"/>
      <color rgb="FFB7B7B7"/>
      <name val="Calibri"/>
      <family val="2"/>
      <scheme val="minor"/>
    </font>
    <font>
      <i/>
      <sz val="12"/>
      <color rgb="FFB7B7B7"/>
      <name val="Calibri"/>
      <family val="2"/>
    </font>
    <font>
      <b/>
      <sz val="11"/>
      <color rgb="FFFF0000"/>
      <name val="Calibri"/>
      <family val="2"/>
    </font>
    <font>
      <b/>
      <sz val="11"/>
      <color rgb="FFB7B7B7"/>
      <name val="Calibri"/>
      <family val="2"/>
    </font>
    <font>
      <sz val="11"/>
      <color rgb="FFB7B7B7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b/>
      <i/>
      <sz val="11"/>
      <color rgb="FF38761D"/>
      <name val="Calibri"/>
      <family val="2"/>
    </font>
    <font>
      <b/>
      <i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  <font>
      <sz val="8"/>
      <color rgb="FFFFFFFF"/>
      <name val="Calibri"/>
      <family val="2"/>
    </font>
    <font>
      <i/>
      <sz val="8"/>
      <color rgb="FFFFFFFF"/>
      <name val="Calibri"/>
      <family val="2"/>
    </font>
    <font>
      <b/>
      <i/>
      <sz val="12"/>
      <color rgb="FF9900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theme="9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44546A"/>
      </left>
      <right style="thin">
        <color rgb="FF000000"/>
      </right>
      <top style="thin">
        <color rgb="FF44546A"/>
      </top>
      <bottom style="thin">
        <color rgb="FF44546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44546A"/>
      </left>
      <right/>
      <top style="thin">
        <color rgb="FF44546A"/>
      </top>
      <bottom style="thin">
        <color rgb="FF44546A"/>
      </bottom>
      <diagonal/>
    </border>
    <border>
      <left style="thin">
        <color rgb="FF000000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481">
    <xf numFmtId="0" fontId="0" fillId="0" borderId="0" xfId="0"/>
    <xf numFmtId="0" fontId="1" fillId="0" borderId="0" xfId="0" applyFont="1"/>
    <xf numFmtId="0" fontId="1" fillId="0" borderId="1" xfId="0" applyFont="1" applyBorder="1"/>
    <xf numFmtId="0" fontId="5" fillId="0" borderId="1" xfId="0" applyFont="1" applyBorder="1"/>
    <xf numFmtId="0" fontId="1" fillId="0" borderId="5" xfId="0" applyFont="1" applyBorder="1"/>
    <xf numFmtId="171" fontId="1" fillId="0" borderId="5" xfId="0" applyNumberFormat="1" applyFont="1" applyBorder="1"/>
    <xf numFmtId="0" fontId="12" fillId="4" borderId="9" xfId="0" applyFont="1" applyFill="1" applyBorder="1" applyAlignment="1">
      <alignment horizontal="center" readingOrder="1"/>
    </xf>
    <xf numFmtId="0" fontId="13" fillId="4" borderId="9" xfId="0" applyFont="1" applyFill="1" applyBorder="1" applyAlignment="1">
      <alignment horizontal="center" readingOrder="1"/>
    </xf>
    <xf numFmtId="0" fontId="13" fillId="4" borderId="9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171" fontId="14" fillId="4" borderId="9" xfId="0" applyNumberFormat="1" applyFont="1" applyFill="1" applyBorder="1" applyAlignment="1">
      <alignment horizontal="center" readingOrder="1"/>
    </xf>
    <xf numFmtId="0" fontId="13" fillId="4" borderId="14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right" readingOrder="1"/>
    </xf>
    <xf numFmtId="176" fontId="13" fillId="4" borderId="9" xfId="0" applyNumberFormat="1" applyFont="1" applyFill="1" applyBorder="1" applyAlignment="1">
      <alignment horizontal="center"/>
    </xf>
    <xf numFmtId="176" fontId="13" fillId="4" borderId="16" xfId="0" applyNumberFormat="1" applyFont="1" applyFill="1" applyBorder="1" applyAlignment="1">
      <alignment horizontal="center"/>
    </xf>
    <xf numFmtId="176" fontId="13" fillId="4" borderId="17" xfId="0" applyNumberFormat="1" applyFont="1" applyFill="1" applyBorder="1" applyAlignment="1">
      <alignment horizontal="center"/>
    </xf>
    <xf numFmtId="176" fontId="13" fillId="4" borderId="18" xfId="0" applyNumberFormat="1" applyFont="1" applyFill="1" applyBorder="1" applyAlignment="1">
      <alignment horizontal="center"/>
    </xf>
    <xf numFmtId="176" fontId="13" fillId="4" borderId="19" xfId="0" applyNumberFormat="1" applyFont="1" applyFill="1" applyBorder="1" applyAlignment="1">
      <alignment horizontal="center"/>
    </xf>
    <xf numFmtId="176" fontId="13" fillId="4" borderId="10" xfId="0" applyNumberFormat="1" applyFont="1" applyFill="1" applyBorder="1" applyAlignment="1">
      <alignment horizontal="center"/>
    </xf>
    <xf numFmtId="176" fontId="13" fillId="4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 vertical="center" shrinkToFit="1" readingOrder="1"/>
    </xf>
    <xf numFmtId="0" fontId="16" fillId="0" borderId="0" xfId="0" applyFont="1" applyAlignment="1">
      <alignment horizontal="left" shrinkToFit="1" readingOrder="1"/>
    </xf>
    <xf numFmtId="171" fontId="16" fillId="6" borderId="0" xfId="0" applyNumberFormat="1" applyFont="1" applyFill="1" applyAlignment="1">
      <alignment horizontal="left" shrinkToFit="1" readingOrder="1"/>
    </xf>
    <xf numFmtId="171" fontId="16" fillId="6" borderId="14" xfId="0" applyNumberFormat="1" applyFont="1" applyFill="1" applyBorder="1" applyAlignment="1">
      <alignment horizontal="left" shrinkToFit="1" readingOrder="1"/>
    </xf>
    <xf numFmtId="171" fontId="16" fillId="0" borderId="0" xfId="0" applyNumberFormat="1" applyFont="1" applyAlignment="1">
      <alignment horizontal="left" shrinkToFit="1" readingOrder="1"/>
    </xf>
    <xf numFmtId="171" fontId="16" fillId="0" borderId="14" xfId="0" applyNumberFormat="1" applyFont="1" applyBorder="1" applyAlignment="1">
      <alignment horizontal="left" shrinkToFit="1" readingOrder="1"/>
    </xf>
    <xf numFmtId="171" fontId="16" fillId="7" borderId="0" xfId="0" applyNumberFormat="1" applyFont="1" applyFill="1" applyAlignment="1">
      <alignment horizontal="left" shrinkToFit="1" readingOrder="1"/>
    </xf>
    <xf numFmtId="9" fontId="17" fillId="5" borderId="0" xfId="0" applyNumberFormat="1" applyFont="1" applyFill="1" applyAlignment="1">
      <alignment horizontal="center" vertical="center" shrinkToFit="1" readingOrder="1"/>
    </xf>
    <xf numFmtId="0" fontId="18" fillId="0" borderId="0" xfId="0" applyFont="1" applyAlignment="1">
      <alignment horizontal="right" vertical="center" shrinkToFit="1" readingOrder="1"/>
    </xf>
    <xf numFmtId="171" fontId="18" fillId="6" borderId="0" xfId="0" applyNumberFormat="1" applyFont="1" applyFill="1" applyAlignment="1">
      <alignment horizontal="center" vertical="center" shrinkToFit="1" readingOrder="1"/>
    </xf>
    <xf numFmtId="171" fontId="18" fillId="6" borderId="14" xfId="0" applyNumberFormat="1" applyFont="1" applyFill="1" applyBorder="1" applyAlignment="1">
      <alignment horizontal="center" vertical="center" shrinkToFit="1" readingOrder="1"/>
    </xf>
    <xf numFmtId="171" fontId="18" fillId="0" borderId="0" xfId="0" applyNumberFormat="1" applyFont="1" applyAlignment="1">
      <alignment horizontal="center" vertical="center" shrinkToFit="1" readingOrder="1"/>
    </xf>
    <xf numFmtId="171" fontId="18" fillId="0" borderId="14" xfId="0" applyNumberFormat="1" applyFont="1" applyBorder="1" applyAlignment="1">
      <alignment horizontal="center" vertical="center" shrinkToFit="1" readingOrder="1"/>
    </xf>
    <xf numFmtId="171" fontId="18" fillId="7" borderId="0" xfId="0" applyNumberFormat="1" applyFont="1" applyFill="1" applyAlignment="1">
      <alignment horizontal="center" vertical="center" shrinkToFit="1" readingOrder="1"/>
    </xf>
    <xf numFmtId="9" fontId="16" fillId="6" borderId="0" xfId="0" applyNumberFormat="1" applyFont="1" applyFill="1" applyAlignment="1">
      <alignment horizontal="left" shrinkToFit="1" readingOrder="1"/>
    </xf>
    <xf numFmtId="9" fontId="16" fillId="6" borderId="14" xfId="0" applyNumberFormat="1" applyFont="1" applyFill="1" applyBorder="1" applyAlignment="1">
      <alignment horizontal="left" shrinkToFit="1" readingOrder="1"/>
    </xf>
    <xf numFmtId="9" fontId="16" fillId="0" borderId="0" xfId="0" applyNumberFormat="1" applyFont="1" applyAlignment="1">
      <alignment horizontal="left" shrinkToFit="1" readingOrder="1"/>
    </xf>
    <xf numFmtId="9" fontId="16" fillId="0" borderId="14" xfId="0" applyNumberFormat="1" applyFont="1" applyBorder="1" applyAlignment="1">
      <alignment horizontal="left" shrinkToFit="1" readingOrder="1"/>
    </xf>
    <xf numFmtId="9" fontId="16" fillId="7" borderId="0" xfId="0" applyNumberFormat="1" applyFont="1" applyFill="1" applyAlignment="1">
      <alignment horizontal="left" shrinkToFit="1" readingOrder="1"/>
    </xf>
    <xf numFmtId="176" fontId="12" fillId="4" borderId="9" xfId="0" applyNumberFormat="1" applyFont="1" applyFill="1" applyBorder="1" applyAlignment="1">
      <alignment horizontal="center"/>
    </xf>
    <xf numFmtId="0" fontId="13" fillId="4" borderId="9" xfId="0" applyFont="1" applyFill="1" applyBorder="1" applyAlignment="1">
      <alignment horizontal="right"/>
    </xf>
    <xf numFmtId="0" fontId="15" fillId="8" borderId="0" xfId="0" applyFont="1" applyFill="1" applyAlignment="1">
      <alignment horizontal="center" vertical="center" shrinkToFit="1" readingOrder="1"/>
    </xf>
    <xf numFmtId="0" fontId="19" fillId="0" borderId="0" xfId="0" applyFont="1" applyAlignment="1">
      <alignment horizontal="left" shrinkToFit="1" readingOrder="1"/>
    </xf>
    <xf numFmtId="171" fontId="19" fillId="6" borderId="0" xfId="0" applyNumberFormat="1" applyFont="1" applyFill="1" applyAlignment="1">
      <alignment horizontal="left" shrinkToFit="1" readingOrder="1"/>
    </xf>
    <xf numFmtId="171" fontId="9" fillId="6" borderId="0" xfId="0" applyNumberFormat="1" applyFont="1" applyFill="1" applyAlignment="1">
      <alignment horizontal="left" shrinkToFit="1" readingOrder="1"/>
    </xf>
    <xf numFmtId="171" fontId="9" fillId="6" borderId="14" xfId="0" applyNumberFormat="1" applyFont="1" applyFill="1" applyBorder="1" applyAlignment="1">
      <alignment horizontal="left" shrinkToFit="1" readingOrder="1"/>
    </xf>
    <xf numFmtId="171" fontId="9" fillId="0" borderId="0" xfId="0" applyNumberFormat="1" applyFont="1" applyAlignment="1">
      <alignment horizontal="right" shrinkToFit="1" readingOrder="1"/>
    </xf>
    <xf numFmtId="171" fontId="9" fillId="0" borderId="0" xfId="0" applyNumberFormat="1" applyFont="1" applyAlignment="1">
      <alignment horizontal="left" shrinkToFit="1" readingOrder="1"/>
    </xf>
    <xf numFmtId="171" fontId="9" fillId="0" borderId="14" xfId="0" applyNumberFormat="1" applyFont="1" applyBorder="1" applyAlignment="1">
      <alignment horizontal="left" shrinkToFit="1" readingOrder="1"/>
    </xf>
    <xf numFmtId="171" fontId="9" fillId="7" borderId="0" xfId="0" applyNumberFormat="1" applyFont="1" applyFill="1" applyAlignment="1">
      <alignment horizontal="left" shrinkToFit="1" readingOrder="1"/>
    </xf>
    <xf numFmtId="9" fontId="17" fillId="8" borderId="0" xfId="0" applyNumberFormat="1" applyFont="1" applyFill="1" applyAlignment="1">
      <alignment horizontal="center" vertical="center" shrinkToFit="1" readingOrder="1"/>
    </xf>
    <xf numFmtId="3" fontId="9" fillId="6" borderId="0" xfId="0" applyNumberFormat="1" applyFont="1" applyFill="1" applyAlignment="1">
      <alignment horizontal="right" shrinkToFit="1" readingOrder="1"/>
    </xf>
    <xf numFmtId="3" fontId="9" fillId="6" borderId="14" xfId="0" applyNumberFormat="1" applyFont="1" applyFill="1" applyBorder="1" applyAlignment="1">
      <alignment horizontal="right" shrinkToFit="1" readingOrder="1"/>
    </xf>
    <xf numFmtId="0" fontId="9" fillId="6" borderId="0" xfId="0" applyFont="1" applyFill="1" applyAlignment="1">
      <alignment horizontal="right" shrinkToFit="1" readingOrder="1"/>
    </xf>
    <xf numFmtId="0" fontId="9" fillId="0" borderId="0" xfId="0" applyFont="1" applyAlignment="1">
      <alignment horizontal="right" shrinkToFit="1" readingOrder="1"/>
    </xf>
    <xf numFmtId="3" fontId="9" fillId="0" borderId="0" xfId="0" applyNumberFormat="1" applyFont="1" applyAlignment="1">
      <alignment horizontal="right" shrinkToFit="1" readingOrder="1"/>
    </xf>
    <xf numFmtId="3" fontId="9" fillId="0" borderId="14" xfId="0" applyNumberFormat="1" applyFont="1" applyBorder="1" applyAlignment="1">
      <alignment horizontal="right" shrinkToFit="1" readingOrder="1"/>
    </xf>
    <xf numFmtId="3" fontId="9" fillId="7" borderId="0" xfId="0" applyNumberFormat="1" applyFont="1" applyFill="1" applyAlignment="1">
      <alignment horizontal="right" shrinkToFit="1" readingOrder="1"/>
    </xf>
    <xf numFmtId="0" fontId="15" fillId="9" borderId="0" xfId="0" applyFont="1" applyFill="1" applyAlignment="1">
      <alignment horizontal="center" vertical="center" shrinkToFit="1" readingOrder="1"/>
    </xf>
    <xf numFmtId="3" fontId="6" fillId="6" borderId="0" xfId="0" applyNumberFormat="1" applyFont="1" applyFill="1" applyAlignment="1">
      <alignment horizontal="right" readingOrder="1"/>
    </xf>
    <xf numFmtId="3" fontId="6" fillId="6" borderId="14" xfId="0" applyNumberFormat="1" applyFont="1" applyFill="1" applyBorder="1" applyAlignment="1">
      <alignment horizontal="right" readingOrder="1"/>
    </xf>
    <xf numFmtId="3" fontId="6" fillId="0" borderId="0" xfId="0" applyNumberFormat="1" applyFont="1" applyAlignment="1">
      <alignment horizontal="right" readingOrder="1"/>
    </xf>
    <xf numFmtId="3" fontId="6" fillId="0" borderId="14" xfId="0" applyNumberFormat="1" applyFont="1" applyBorder="1" applyAlignment="1">
      <alignment horizontal="right" readingOrder="1"/>
    </xf>
    <xf numFmtId="3" fontId="6" fillId="7" borderId="0" xfId="0" applyNumberFormat="1" applyFont="1" applyFill="1" applyAlignment="1">
      <alignment horizontal="right" readingOrder="1"/>
    </xf>
    <xf numFmtId="9" fontId="17" fillId="9" borderId="0" xfId="0" applyNumberFormat="1" applyFont="1" applyFill="1" applyAlignment="1">
      <alignment horizontal="center" vertical="center" shrinkToFit="1" readingOrder="1"/>
    </xf>
    <xf numFmtId="0" fontId="20" fillId="0" borderId="0" xfId="0" applyFont="1" applyAlignment="1">
      <alignment horizontal="left" shrinkToFit="1" readingOrder="1"/>
    </xf>
    <xf numFmtId="0" fontId="9" fillId="0" borderId="0" xfId="0" applyFont="1" applyAlignment="1">
      <alignment horizontal="left" shrinkToFit="1" readingOrder="1"/>
    </xf>
    <xf numFmtId="0" fontId="15" fillId="0" borderId="0" xfId="0" applyFont="1" applyAlignment="1">
      <alignment shrinkToFit="1"/>
    </xf>
    <xf numFmtId="171" fontId="4" fillId="6" borderId="0" xfId="0" applyNumberFormat="1" applyFont="1" applyFill="1" applyAlignment="1">
      <alignment horizontal="right"/>
    </xf>
    <xf numFmtId="171" fontId="6" fillId="6" borderId="0" xfId="0" applyNumberFormat="1" applyFont="1" applyFill="1" applyAlignment="1">
      <alignment horizontal="right"/>
    </xf>
    <xf numFmtId="171" fontId="1" fillId="6" borderId="14" xfId="0" applyNumberFormat="1" applyFont="1" applyFill="1" applyBorder="1"/>
    <xf numFmtId="171" fontId="1" fillId="6" borderId="0" xfId="0" applyNumberFormat="1" applyFont="1" applyFill="1"/>
    <xf numFmtId="171" fontId="4" fillId="0" borderId="0" xfId="0" applyNumberFormat="1" applyFont="1" applyAlignment="1">
      <alignment horizontal="right"/>
    </xf>
    <xf numFmtId="171" fontId="21" fillId="0" borderId="0" xfId="0" applyNumberFormat="1" applyFont="1" applyAlignment="1">
      <alignment horizontal="center" vertical="center"/>
    </xf>
    <xf numFmtId="171" fontId="22" fillId="0" borderId="14" xfId="0" applyNumberFormat="1" applyFont="1" applyBorder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71" fontId="21" fillId="0" borderId="14" xfId="0" applyNumberFormat="1" applyFont="1" applyBorder="1" applyAlignment="1">
      <alignment horizontal="center" vertical="center"/>
    </xf>
    <xf numFmtId="171" fontId="4" fillId="0" borderId="14" xfId="0" applyNumberFormat="1" applyFont="1" applyBorder="1" applyAlignment="1">
      <alignment horizontal="right"/>
    </xf>
    <xf numFmtId="171" fontId="4" fillId="7" borderId="0" xfId="0" applyNumberFormat="1" applyFont="1" applyFill="1" applyAlignment="1">
      <alignment horizontal="right"/>
    </xf>
    <xf numFmtId="171" fontId="21" fillId="7" borderId="0" xfId="0" applyNumberFormat="1" applyFont="1" applyFill="1" applyAlignment="1">
      <alignment horizontal="center" vertical="center"/>
    </xf>
    <xf numFmtId="171" fontId="21" fillId="6" borderId="14" xfId="0" applyNumberFormat="1" applyFont="1" applyFill="1" applyBorder="1" applyAlignment="1">
      <alignment horizontal="center"/>
    </xf>
    <xf numFmtId="0" fontId="11" fillId="6" borderId="14" xfId="0" applyFont="1" applyFill="1" applyBorder="1"/>
    <xf numFmtId="171" fontId="21" fillId="5" borderId="14" xfId="0" applyNumberFormat="1" applyFont="1" applyFill="1" applyBorder="1" applyAlignment="1">
      <alignment horizontal="center"/>
    </xf>
    <xf numFmtId="171" fontId="21" fillId="5" borderId="0" xfId="0" applyNumberFormat="1" applyFont="1" applyFill="1" applyAlignment="1">
      <alignment horizontal="center" vertical="center"/>
    </xf>
    <xf numFmtId="171" fontId="22" fillId="0" borderId="1" xfId="0" applyNumberFormat="1" applyFont="1" applyBorder="1" applyAlignment="1">
      <alignment horizontal="center" vertical="center"/>
    </xf>
    <xf numFmtId="171" fontId="22" fillId="6" borderId="14" xfId="0" applyNumberFormat="1" applyFont="1" applyFill="1" applyBorder="1" applyAlignment="1">
      <alignment horizontal="center"/>
    </xf>
    <xf numFmtId="171" fontId="22" fillId="5" borderId="14" xfId="0" applyNumberFormat="1" applyFont="1" applyFill="1" applyBorder="1" applyAlignment="1">
      <alignment horizontal="center"/>
    </xf>
    <xf numFmtId="171" fontId="22" fillId="5" borderId="0" xfId="0" applyNumberFormat="1" applyFont="1" applyFill="1" applyAlignment="1">
      <alignment horizontal="center" vertical="center"/>
    </xf>
    <xf numFmtId="171" fontId="22" fillId="7" borderId="0" xfId="0" applyNumberFormat="1" applyFont="1" applyFill="1" applyAlignment="1">
      <alignment horizontal="center" vertical="center"/>
    </xf>
    <xf numFmtId="171" fontId="21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shrinkToFit="1"/>
    </xf>
    <xf numFmtId="171" fontId="4" fillId="6" borderId="14" xfId="0" applyNumberFormat="1" applyFont="1" applyFill="1" applyBorder="1" applyAlignment="1">
      <alignment horizontal="right"/>
    </xf>
    <xf numFmtId="0" fontId="17" fillId="0" borderId="0" xfId="0" applyFont="1" applyAlignment="1">
      <alignment shrinkToFit="1"/>
    </xf>
    <xf numFmtId="0" fontId="9" fillId="0" borderId="0" xfId="0" applyFont="1" applyAlignment="1">
      <alignment shrinkToFit="1"/>
    </xf>
    <xf numFmtId="171" fontId="6" fillId="6" borderId="0" xfId="0" applyNumberFormat="1" applyFont="1" applyFill="1"/>
    <xf numFmtId="171" fontId="6" fillId="6" borderId="14" xfId="0" applyNumberFormat="1" applyFont="1" applyFill="1" applyBorder="1"/>
    <xf numFmtId="171" fontId="6" fillId="0" borderId="0" xfId="0" applyNumberFormat="1" applyFont="1"/>
    <xf numFmtId="171" fontId="6" fillId="0" borderId="14" xfId="0" applyNumberFormat="1" applyFont="1" applyBorder="1"/>
    <xf numFmtId="171" fontId="6" fillId="7" borderId="0" xfId="0" applyNumberFormat="1" applyFont="1" applyFill="1"/>
    <xf numFmtId="0" fontId="17" fillId="0" borderId="0" xfId="0" applyFont="1" applyAlignment="1">
      <alignment horizontal="left" shrinkToFit="1" readingOrder="1"/>
    </xf>
    <xf numFmtId="3" fontId="9" fillId="6" borderId="0" xfId="0" applyNumberFormat="1" applyFont="1" applyFill="1" applyAlignment="1">
      <alignment horizontal="right" shrinkToFit="1"/>
    </xf>
    <xf numFmtId="3" fontId="6" fillId="6" borderId="0" xfId="0" applyNumberFormat="1" applyFont="1" applyFill="1" applyAlignment="1">
      <alignment horizontal="right"/>
    </xf>
    <xf numFmtId="3" fontId="6" fillId="6" borderId="14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14" xfId="0" applyNumberFormat="1" applyFont="1" applyBorder="1" applyAlignment="1">
      <alignment horizontal="right"/>
    </xf>
    <xf numFmtId="3" fontId="6" fillId="7" borderId="0" xfId="0" applyNumberFormat="1" applyFont="1" applyFill="1" applyAlignment="1">
      <alignment horizontal="right"/>
    </xf>
    <xf numFmtId="0" fontId="19" fillId="0" borderId="0" xfId="0" applyFont="1" applyAlignment="1">
      <alignment horizontal="right" shrinkToFit="1"/>
    </xf>
    <xf numFmtId="10" fontId="9" fillId="6" borderId="0" xfId="0" applyNumberFormat="1" applyFont="1" applyFill="1" applyAlignment="1">
      <alignment horizontal="right" shrinkToFit="1" readingOrder="1"/>
    </xf>
    <xf numFmtId="0" fontId="23" fillId="0" borderId="3" xfId="0" applyFont="1" applyBorder="1" applyAlignment="1">
      <alignment shrinkToFit="1"/>
    </xf>
    <xf numFmtId="0" fontId="9" fillId="0" borderId="1" xfId="0" applyFont="1" applyBorder="1" applyAlignment="1">
      <alignment shrinkToFit="1"/>
    </xf>
    <xf numFmtId="3" fontId="9" fillId="6" borderId="14" xfId="0" applyNumberFormat="1" applyFont="1" applyFill="1" applyBorder="1" applyAlignment="1">
      <alignment horizontal="right" shrinkToFit="1"/>
    </xf>
    <xf numFmtId="3" fontId="9" fillId="0" borderId="0" xfId="0" applyNumberFormat="1" applyFont="1" applyAlignment="1">
      <alignment horizontal="right" shrinkToFit="1"/>
    </xf>
    <xf numFmtId="3" fontId="9" fillId="0" borderId="14" xfId="0" applyNumberFormat="1" applyFont="1" applyBorder="1" applyAlignment="1">
      <alignment horizontal="right" shrinkToFit="1"/>
    </xf>
    <xf numFmtId="3" fontId="9" fillId="7" borderId="0" xfId="0" applyNumberFormat="1" applyFont="1" applyFill="1" applyAlignment="1">
      <alignment horizontal="right" shrinkToFit="1"/>
    </xf>
    <xf numFmtId="171" fontId="15" fillId="0" borderId="0" xfId="0" applyNumberFormat="1" applyFont="1" applyAlignment="1">
      <alignment horizontal="left" shrinkToFit="1" readingOrder="1"/>
    </xf>
    <xf numFmtId="0" fontId="24" fillId="2" borderId="0" xfId="0" applyFont="1" applyFill="1" applyAlignment="1">
      <alignment horizontal="right"/>
    </xf>
    <xf numFmtId="0" fontId="25" fillId="2" borderId="0" xfId="0" applyFont="1" applyFill="1" applyAlignment="1">
      <alignment horizontal="right"/>
    </xf>
    <xf numFmtId="171" fontId="13" fillId="10" borderId="0" xfId="0" applyNumberFormat="1" applyFont="1" applyFill="1" applyAlignment="1">
      <alignment horizontal="center"/>
    </xf>
    <xf numFmtId="171" fontId="13" fillId="10" borderId="14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shrinkToFit="1"/>
    </xf>
    <xf numFmtId="0" fontId="26" fillId="0" borderId="0" xfId="0" applyFont="1" applyAlignment="1">
      <alignment shrinkToFit="1"/>
    </xf>
    <xf numFmtId="171" fontId="9" fillId="6" borderId="20" xfId="0" applyNumberFormat="1" applyFont="1" applyFill="1" applyBorder="1" applyAlignment="1">
      <alignment horizontal="left"/>
    </xf>
    <xf numFmtId="171" fontId="9" fillId="6" borderId="21" xfId="0" applyNumberFormat="1" applyFont="1" applyFill="1" applyBorder="1" applyAlignment="1">
      <alignment horizontal="left"/>
    </xf>
    <xf numFmtId="171" fontId="9" fillId="6" borderId="22" xfId="0" applyNumberFormat="1" applyFont="1" applyFill="1" applyBorder="1" applyAlignment="1">
      <alignment horizontal="left"/>
    </xf>
    <xf numFmtId="171" fontId="9" fillId="2" borderId="21" xfId="0" applyNumberFormat="1" applyFont="1" applyFill="1" applyBorder="1" applyAlignment="1">
      <alignment horizontal="left"/>
    </xf>
    <xf numFmtId="171" fontId="9" fillId="2" borderId="22" xfId="0" applyNumberFormat="1" applyFont="1" applyFill="1" applyBorder="1" applyAlignment="1">
      <alignment horizontal="left"/>
    </xf>
    <xf numFmtId="171" fontId="9" fillId="7" borderId="21" xfId="0" applyNumberFormat="1" applyFont="1" applyFill="1" applyBorder="1" applyAlignment="1">
      <alignment horizontal="left"/>
    </xf>
    <xf numFmtId="171" fontId="9" fillId="2" borderId="0" xfId="0" applyNumberFormat="1" applyFont="1" applyFill="1" applyAlignment="1">
      <alignment horizontal="left"/>
    </xf>
    <xf numFmtId="169" fontId="17" fillId="0" borderId="0" xfId="0" applyNumberFormat="1" applyFont="1" applyAlignment="1">
      <alignment horizontal="center" vertical="center" shrinkToFit="1"/>
    </xf>
    <xf numFmtId="171" fontId="9" fillId="6" borderId="23" xfId="0" applyNumberFormat="1" applyFont="1" applyFill="1" applyBorder="1" applyAlignment="1">
      <alignment horizontal="left" readingOrder="1"/>
    </xf>
    <xf numFmtId="171" fontId="9" fillId="6" borderId="24" xfId="0" applyNumberFormat="1" applyFont="1" applyFill="1" applyBorder="1" applyAlignment="1">
      <alignment horizontal="left" readingOrder="1"/>
    </xf>
    <xf numFmtId="171" fontId="9" fillId="6" borderId="25" xfId="0" applyNumberFormat="1" applyFont="1" applyFill="1" applyBorder="1" applyAlignment="1">
      <alignment horizontal="left" readingOrder="1"/>
    </xf>
    <xf numFmtId="171" fontId="9" fillId="0" borderId="24" xfId="0" applyNumberFormat="1" applyFont="1" applyBorder="1" applyAlignment="1">
      <alignment horizontal="left" readingOrder="1"/>
    </xf>
    <xf numFmtId="171" fontId="9" fillId="0" borderId="25" xfId="0" applyNumberFormat="1" applyFont="1" applyBorder="1" applyAlignment="1">
      <alignment horizontal="left" readingOrder="1"/>
    </xf>
    <xf numFmtId="171" fontId="9" fillId="7" borderId="24" xfId="0" applyNumberFormat="1" applyFont="1" applyFill="1" applyBorder="1" applyAlignment="1">
      <alignment horizontal="left" readingOrder="1"/>
    </xf>
    <xf numFmtId="171" fontId="9" fillId="2" borderId="0" xfId="0" applyNumberFormat="1" applyFont="1" applyFill="1" applyAlignment="1">
      <alignment horizontal="left" readingOrder="1"/>
    </xf>
    <xf numFmtId="0" fontId="27" fillId="0" borderId="0" xfId="0" applyFont="1" applyAlignment="1">
      <alignment shrinkToFit="1"/>
    </xf>
    <xf numFmtId="171" fontId="26" fillId="6" borderId="23" xfId="0" applyNumberFormat="1" applyFont="1" applyFill="1" applyBorder="1" applyAlignment="1">
      <alignment horizontal="left"/>
    </xf>
    <xf numFmtId="171" fontId="26" fillId="6" borderId="24" xfId="0" applyNumberFormat="1" applyFont="1" applyFill="1" applyBorder="1" applyAlignment="1">
      <alignment horizontal="left"/>
    </xf>
    <xf numFmtId="171" fontId="26" fillId="6" borderId="0" xfId="0" applyNumberFormat="1" applyFont="1" applyFill="1" applyAlignment="1">
      <alignment horizontal="left"/>
    </xf>
    <xf numFmtId="171" fontId="26" fillId="6" borderId="25" xfId="0" applyNumberFormat="1" applyFont="1" applyFill="1" applyBorder="1" applyAlignment="1">
      <alignment horizontal="left"/>
    </xf>
    <xf numFmtId="171" fontId="26" fillId="2" borderId="24" xfId="0" applyNumberFormat="1" applyFont="1" applyFill="1" applyBorder="1" applyAlignment="1">
      <alignment horizontal="left"/>
    </xf>
    <xf numFmtId="171" fontId="26" fillId="2" borderId="25" xfId="0" applyNumberFormat="1" applyFont="1" applyFill="1" applyBorder="1" applyAlignment="1">
      <alignment horizontal="left"/>
    </xf>
    <xf numFmtId="171" fontId="26" fillId="7" borderId="24" xfId="0" applyNumberFormat="1" applyFont="1" applyFill="1" applyBorder="1" applyAlignment="1">
      <alignment horizontal="left"/>
    </xf>
    <xf numFmtId="171" fontId="26" fillId="2" borderId="0" xfId="0" applyNumberFormat="1" applyFont="1" applyFill="1" applyAlignment="1">
      <alignment horizontal="left"/>
    </xf>
    <xf numFmtId="0" fontId="6" fillId="6" borderId="23" xfId="0" applyFont="1" applyFill="1" applyBorder="1" applyAlignment="1">
      <alignment horizontal="left"/>
    </xf>
    <xf numFmtId="0" fontId="6" fillId="6" borderId="24" xfId="0" applyFont="1" applyFill="1" applyBorder="1" applyAlignment="1">
      <alignment horizontal="left"/>
    </xf>
    <xf numFmtId="0" fontId="6" fillId="6" borderId="26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25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7" borderId="24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9" fontId="17" fillId="0" borderId="0" xfId="0" applyNumberFormat="1" applyFont="1" applyAlignment="1">
      <alignment horizontal="center" vertical="center" shrinkToFit="1"/>
    </xf>
    <xf numFmtId="0" fontId="28" fillId="0" borderId="0" xfId="0" applyFont="1" applyAlignment="1">
      <alignment shrinkToFit="1"/>
    </xf>
    <xf numFmtId="171" fontId="9" fillId="6" borderId="23" xfId="0" applyNumberFormat="1" applyFont="1" applyFill="1" applyBorder="1" applyAlignment="1">
      <alignment horizontal="left"/>
    </xf>
    <xf numFmtId="171" fontId="9" fillId="6" borderId="24" xfId="0" applyNumberFormat="1" applyFont="1" applyFill="1" applyBorder="1" applyAlignment="1">
      <alignment horizontal="left"/>
    </xf>
    <xf numFmtId="171" fontId="9" fillId="6" borderId="0" xfId="0" applyNumberFormat="1" applyFont="1" applyFill="1" applyAlignment="1">
      <alignment horizontal="left"/>
    </xf>
    <xf numFmtId="171" fontId="9" fillId="6" borderId="25" xfId="0" applyNumberFormat="1" applyFont="1" applyFill="1" applyBorder="1" applyAlignment="1">
      <alignment horizontal="left"/>
    </xf>
    <xf numFmtId="171" fontId="9" fillId="2" borderId="24" xfId="0" applyNumberFormat="1" applyFont="1" applyFill="1" applyBorder="1" applyAlignment="1">
      <alignment horizontal="left"/>
    </xf>
    <xf numFmtId="171" fontId="9" fillId="2" borderId="25" xfId="0" applyNumberFormat="1" applyFont="1" applyFill="1" applyBorder="1" applyAlignment="1">
      <alignment horizontal="left"/>
    </xf>
    <xf numFmtId="171" fontId="9" fillId="7" borderId="24" xfId="0" applyNumberFormat="1" applyFont="1" applyFill="1" applyBorder="1" applyAlignment="1">
      <alignment horizontal="left"/>
    </xf>
    <xf numFmtId="0" fontId="9" fillId="0" borderId="3" xfId="0" applyFont="1" applyBorder="1" applyAlignment="1">
      <alignment horizontal="left" shrinkToFit="1" readingOrder="1"/>
    </xf>
    <xf numFmtId="3" fontId="9" fillId="6" borderId="23" xfId="0" applyNumberFormat="1" applyFont="1" applyFill="1" applyBorder="1" applyAlignment="1">
      <alignment horizontal="right"/>
    </xf>
    <xf numFmtId="3" fontId="9" fillId="6" borderId="24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right"/>
    </xf>
    <xf numFmtId="3" fontId="9" fillId="6" borderId="25" xfId="0" applyNumberFormat="1" applyFont="1" applyFill="1" applyBorder="1" applyAlignment="1">
      <alignment horizontal="right"/>
    </xf>
    <xf numFmtId="3" fontId="9" fillId="2" borderId="24" xfId="0" applyNumberFormat="1" applyFont="1" applyFill="1" applyBorder="1" applyAlignment="1">
      <alignment horizontal="right"/>
    </xf>
    <xf numFmtId="3" fontId="9" fillId="2" borderId="25" xfId="0" applyNumberFormat="1" applyFont="1" applyFill="1" applyBorder="1" applyAlignment="1">
      <alignment horizontal="right"/>
    </xf>
    <xf numFmtId="3" fontId="9" fillId="7" borderId="24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9" fillId="0" borderId="2" xfId="0" applyFont="1" applyBorder="1" applyAlignment="1">
      <alignment shrinkToFit="1"/>
    </xf>
    <xf numFmtId="3" fontId="9" fillId="6" borderId="23" xfId="0" applyNumberFormat="1" applyFont="1" applyFill="1" applyBorder="1" applyAlignment="1">
      <alignment horizontal="right" readingOrder="1"/>
    </xf>
    <xf numFmtId="3" fontId="9" fillId="6" borderId="27" xfId="0" applyNumberFormat="1" applyFont="1" applyFill="1" applyBorder="1" applyAlignment="1">
      <alignment horizontal="right" readingOrder="1"/>
    </xf>
    <xf numFmtId="3" fontId="9" fillId="6" borderId="24" xfId="0" applyNumberFormat="1" applyFont="1" applyFill="1" applyBorder="1" applyAlignment="1">
      <alignment horizontal="right" readingOrder="1"/>
    </xf>
    <xf numFmtId="3" fontId="9" fillId="0" borderId="24" xfId="0" applyNumberFormat="1" applyFont="1" applyBorder="1" applyAlignment="1">
      <alignment horizontal="right" readingOrder="1"/>
    </xf>
    <xf numFmtId="3" fontId="9" fillId="0" borderId="23" xfId="0" applyNumberFormat="1" applyFont="1" applyBorder="1" applyAlignment="1">
      <alignment horizontal="right" readingOrder="1"/>
    </xf>
    <xf numFmtId="3" fontId="9" fillId="0" borderId="27" xfId="0" applyNumberFormat="1" applyFont="1" applyBorder="1" applyAlignment="1">
      <alignment horizontal="right" readingOrder="1"/>
    </xf>
    <xf numFmtId="3" fontId="9" fillId="7" borderId="24" xfId="0" applyNumberFormat="1" applyFont="1" applyFill="1" applyBorder="1" applyAlignment="1">
      <alignment horizontal="right" readingOrder="1"/>
    </xf>
    <xf numFmtId="3" fontId="9" fillId="0" borderId="0" xfId="0" applyNumberFormat="1" applyFont="1" applyAlignment="1">
      <alignment horizontal="right" readingOrder="1"/>
    </xf>
    <xf numFmtId="0" fontId="29" fillId="0" borderId="0" xfId="0" applyFont="1" applyAlignment="1">
      <alignment horizontal="center" vertical="center" wrapText="1"/>
    </xf>
    <xf numFmtId="3" fontId="11" fillId="6" borderId="0" xfId="0" applyNumberFormat="1" applyFont="1" applyFill="1" applyAlignment="1">
      <alignment horizontal="right"/>
    </xf>
    <xf numFmtId="0" fontId="9" fillId="5" borderId="24" xfId="0" applyFont="1" applyFill="1" applyBorder="1" applyAlignment="1">
      <alignment horizontal="right"/>
    </xf>
    <xf numFmtId="3" fontId="11" fillId="6" borderId="14" xfId="0" applyNumberFormat="1" applyFont="1" applyFill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9" fillId="0" borderId="24" xfId="0" applyNumberFormat="1" applyFont="1" applyBorder="1" applyAlignment="1">
      <alignment horizontal="right"/>
    </xf>
    <xf numFmtId="3" fontId="11" fillId="0" borderId="14" xfId="0" applyNumberFormat="1" applyFont="1" applyBorder="1" applyAlignment="1">
      <alignment horizontal="right"/>
    </xf>
    <xf numFmtId="3" fontId="30" fillId="0" borderId="14" xfId="0" applyNumberFormat="1" applyFont="1" applyBorder="1" applyAlignment="1">
      <alignment horizontal="right"/>
    </xf>
    <xf numFmtId="3" fontId="11" fillId="7" borderId="0" xfId="0" applyNumberFormat="1" applyFont="1" applyFill="1" applyAlignment="1">
      <alignment horizontal="right"/>
    </xf>
    <xf numFmtId="0" fontId="9" fillId="0" borderId="4" xfId="0" applyFont="1" applyBorder="1" applyAlignment="1">
      <alignment shrinkToFit="1"/>
    </xf>
    <xf numFmtId="0" fontId="9" fillId="6" borderId="24" xfId="0" applyFont="1" applyFill="1" applyBorder="1" applyAlignment="1">
      <alignment horizontal="right"/>
    </xf>
    <xf numFmtId="3" fontId="9" fillId="6" borderId="14" xfId="0" applyNumberFormat="1" applyFont="1" applyFill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0" borderId="14" xfId="0" applyNumberFormat="1" applyFont="1" applyBorder="1" applyAlignment="1">
      <alignment horizontal="right"/>
    </xf>
    <xf numFmtId="3" fontId="9" fillId="2" borderId="14" xfId="0" applyNumberFormat="1" applyFont="1" applyFill="1" applyBorder="1" applyAlignment="1">
      <alignment horizontal="right"/>
    </xf>
    <xf numFmtId="3" fontId="16" fillId="2" borderId="14" xfId="0" applyNumberFormat="1" applyFont="1" applyFill="1" applyBorder="1" applyAlignment="1">
      <alignment horizontal="right"/>
    </xf>
    <xf numFmtId="3" fontId="9" fillId="7" borderId="0" xfId="0" applyNumberFormat="1" applyFont="1" applyFill="1" applyAlignment="1">
      <alignment horizontal="right"/>
    </xf>
    <xf numFmtId="3" fontId="9" fillId="0" borderId="25" xfId="0" applyNumberFormat="1" applyFont="1" applyBorder="1" applyAlignment="1">
      <alignment horizontal="right"/>
    </xf>
    <xf numFmtId="3" fontId="16" fillId="2" borderId="25" xfId="0" applyNumberFormat="1" applyFont="1" applyFill="1" applyBorder="1" applyAlignment="1">
      <alignment horizontal="right"/>
    </xf>
    <xf numFmtId="3" fontId="9" fillId="6" borderId="25" xfId="0" applyNumberFormat="1" applyFont="1" applyFill="1" applyBorder="1" applyAlignment="1">
      <alignment horizontal="right" readingOrder="1"/>
    </xf>
    <xf numFmtId="3" fontId="9" fillId="6" borderId="21" xfId="0" applyNumberFormat="1" applyFont="1" applyFill="1" applyBorder="1" applyAlignment="1">
      <alignment horizontal="right" readingOrder="1"/>
    </xf>
    <xf numFmtId="3" fontId="9" fillId="2" borderId="24" xfId="0" applyNumberFormat="1" applyFont="1" applyFill="1" applyBorder="1" applyAlignment="1">
      <alignment horizontal="right" readingOrder="1"/>
    </xf>
    <xf numFmtId="3" fontId="9" fillId="2" borderId="25" xfId="0" applyNumberFormat="1" applyFont="1" applyFill="1" applyBorder="1" applyAlignment="1">
      <alignment horizontal="right" readingOrder="1"/>
    </xf>
    <xf numFmtId="3" fontId="9" fillId="2" borderId="0" xfId="0" applyNumberFormat="1" applyFont="1" applyFill="1" applyAlignment="1">
      <alignment horizontal="right" readingOrder="1"/>
    </xf>
    <xf numFmtId="3" fontId="9" fillId="0" borderId="25" xfId="0" applyNumberFormat="1" applyFont="1" applyBorder="1" applyAlignment="1">
      <alignment horizontal="right" readingOrder="1"/>
    </xf>
    <xf numFmtId="3" fontId="9" fillId="5" borderId="25" xfId="0" applyNumberFormat="1" applyFont="1" applyFill="1" applyBorder="1" applyAlignment="1">
      <alignment horizontal="right" readingOrder="1"/>
    </xf>
    <xf numFmtId="3" fontId="9" fillId="6" borderId="27" xfId="0" applyNumberFormat="1" applyFont="1" applyFill="1" applyBorder="1" applyAlignment="1">
      <alignment horizontal="right"/>
    </xf>
    <xf numFmtId="3" fontId="9" fillId="2" borderId="23" xfId="0" applyNumberFormat="1" applyFont="1" applyFill="1" applyBorder="1" applyAlignment="1">
      <alignment horizontal="right"/>
    </xf>
    <xf numFmtId="3" fontId="9" fillId="2" borderId="27" xfId="0" applyNumberFormat="1" applyFont="1" applyFill="1" applyBorder="1" applyAlignment="1">
      <alignment horizontal="right"/>
    </xf>
    <xf numFmtId="3" fontId="16" fillId="6" borderId="24" xfId="0" applyNumberFormat="1" applyFont="1" applyFill="1" applyBorder="1" applyAlignment="1">
      <alignment horizontal="right"/>
    </xf>
    <xf numFmtId="3" fontId="16" fillId="6" borderId="25" xfId="0" applyNumberFormat="1" applyFont="1" applyFill="1" applyBorder="1" applyAlignment="1">
      <alignment horizontal="right"/>
    </xf>
    <xf numFmtId="3" fontId="16" fillId="2" borderId="24" xfId="0" applyNumberFormat="1" applyFont="1" applyFill="1" applyBorder="1" applyAlignment="1">
      <alignment horizontal="right"/>
    </xf>
    <xf numFmtId="3" fontId="16" fillId="7" borderId="24" xfId="0" applyNumberFormat="1" applyFont="1" applyFill="1" applyBorder="1" applyAlignment="1">
      <alignment horizontal="right"/>
    </xf>
    <xf numFmtId="3" fontId="28" fillId="2" borderId="25" xfId="0" applyNumberFormat="1" applyFont="1" applyFill="1" applyBorder="1" applyAlignment="1">
      <alignment horizontal="right"/>
    </xf>
    <xf numFmtId="3" fontId="28" fillId="2" borderId="0" xfId="0" applyNumberFormat="1" applyFont="1" applyFill="1" applyAlignment="1">
      <alignment horizontal="right"/>
    </xf>
    <xf numFmtId="171" fontId="9" fillId="0" borderId="3" xfId="0" applyNumberFormat="1" applyFont="1" applyBorder="1" applyAlignment="1">
      <alignment shrinkToFit="1"/>
    </xf>
    <xf numFmtId="3" fontId="31" fillId="6" borderId="24" xfId="0" applyNumberFormat="1" applyFont="1" applyFill="1" applyBorder="1" applyAlignment="1">
      <alignment horizontal="right"/>
    </xf>
    <xf numFmtId="171" fontId="9" fillId="0" borderId="0" xfId="0" applyNumberFormat="1" applyFont="1" applyAlignment="1">
      <alignment shrinkToFit="1"/>
    </xf>
    <xf numFmtId="3" fontId="16" fillId="0" borderId="24" xfId="0" applyNumberFormat="1" applyFont="1" applyBorder="1" applyAlignment="1">
      <alignment horizontal="right"/>
    </xf>
    <xf numFmtId="3" fontId="32" fillId="2" borderId="25" xfId="0" applyNumberFormat="1" applyFont="1" applyFill="1" applyBorder="1" applyAlignment="1">
      <alignment horizontal="right"/>
    </xf>
    <xf numFmtId="3" fontId="32" fillId="2" borderId="0" xfId="0" applyNumberFormat="1" applyFont="1" applyFill="1" applyAlignment="1">
      <alignment horizontal="right"/>
    </xf>
    <xf numFmtId="171" fontId="9" fillId="0" borderId="2" xfId="0" applyNumberFormat="1" applyFont="1" applyBorder="1" applyAlignment="1">
      <alignment shrinkToFit="1"/>
    </xf>
    <xf numFmtId="171" fontId="33" fillId="0" borderId="0" xfId="0" applyNumberFormat="1" applyFont="1" applyAlignment="1">
      <alignment shrinkToFit="1"/>
    </xf>
    <xf numFmtId="171" fontId="28" fillId="0" borderId="0" xfId="0" applyNumberFormat="1" applyFont="1" applyAlignment="1">
      <alignment shrinkToFit="1"/>
    </xf>
    <xf numFmtId="171" fontId="32" fillId="6" borderId="23" xfId="0" applyNumberFormat="1" applyFont="1" applyFill="1" applyBorder="1" applyAlignment="1">
      <alignment horizontal="left"/>
    </xf>
    <xf numFmtId="171" fontId="32" fillId="6" borderId="24" xfId="0" applyNumberFormat="1" applyFont="1" applyFill="1" applyBorder="1" applyAlignment="1">
      <alignment horizontal="left"/>
    </xf>
    <xf numFmtId="171" fontId="32" fillId="6" borderId="25" xfId="0" applyNumberFormat="1" applyFont="1" applyFill="1" applyBorder="1" applyAlignment="1">
      <alignment horizontal="left"/>
    </xf>
    <xf numFmtId="171" fontId="28" fillId="6" borderId="24" xfId="0" applyNumberFormat="1" applyFont="1" applyFill="1" applyBorder="1" applyAlignment="1">
      <alignment horizontal="left"/>
    </xf>
    <xf numFmtId="171" fontId="28" fillId="6" borderId="25" xfId="0" applyNumberFormat="1" applyFont="1" applyFill="1" applyBorder="1" applyAlignment="1">
      <alignment horizontal="left"/>
    </xf>
    <xf numFmtId="171" fontId="28" fillId="2" borderId="24" xfId="0" applyNumberFormat="1" applyFont="1" applyFill="1" applyBorder="1" applyAlignment="1">
      <alignment horizontal="left"/>
    </xf>
    <xf numFmtId="171" fontId="28" fillId="2" borderId="25" xfId="0" applyNumberFormat="1" applyFont="1" applyFill="1" applyBorder="1" applyAlignment="1">
      <alignment horizontal="left"/>
    </xf>
    <xf numFmtId="171" fontId="28" fillId="7" borderId="24" xfId="0" applyNumberFormat="1" applyFont="1" applyFill="1" applyBorder="1" applyAlignment="1">
      <alignment horizontal="left"/>
    </xf>
    <xf numFmtId="171" fontId="28" fillId="2" borderId="0" xfId="0" applyNumberFormat="1" applyFont="1" applyFill="1" applyAlignment="1">
      <alignment horizontal="left"/>
    </xf>
    <xf numFmtId="171" fontId="28" fillId="0" borderId="24" xfId="0" applyNumberFormat="1" applyFont="1" applyBorder="1" applyAlignment="1">
      <alignment horizontal="left"/>
    </xf>
    <xf numFmtId="171" fontId="28" fillId="0" borderId="25" xfId="0" applyNumberFormat="1" applyFont="1" applyBorder="1" applyAlignment="1">
      <alignment horizontal="left"/>
    </xf>
    <xf numFmtId="171" fontId="28" fillId="0" borderId="0" xfId="0" applyNumberFormat="1" applyFont="1" applyAlignment="1">
      <alignment horizontal="left"/>
    </xf>
    <xf numFmtId="171" fontId="34" fillId="0" borderId="0" xfId="0" applyNumberFormat="1" applyFont="1" applyAlignment="1">
      <alignment shrinkToFit="1"/>
    </xf>
    <xf numFmtId="171" fontId="35" fillId="0" borderId="0" xfId="0" applyNumberFormat="1" applyFont="1" applyAlignment="1">
      <alignment shrinkToFit="1"/>
    </xf>
    <xf numFmtId="171" fontId="35" fillId="0" borderId="0" xfId="0" applyNumberFormat="1" applyFont="1" applyAlignment="1">
      <alignment horizontal="left" shrinkToFit="1" readingOrder="1"/>
    </xf>
    <xf numFmtId="171" fontId="35" fillId="0" borderId="14" xfId="0" applyNumberFormat="1" applyFont="1" applyBorder="1" applyAlignment="1">
      <alignment horizontal="left" shrinkToFit="1" readingOrder="1"/>
    </xf>
    <xf numFmtId="3" fontId="36" fillId="0" borderId="0" xfId="0" applyNumberFormat="1" applyFont="1" applyAlignment="1">
      <alignment horizontal="left" shrinkToFit="1" readingOrder="1"/>
    </xf>
    <xf numFmtId="3" fontId="36" fillId="0" borderId="14" xfId="0" applyNumberFormat="1" applyFont="1" applyBorder="1" applyAlignment="1">
      <alignment horizontal="left" shrinkToFit="1" readingOrder="1"/>
    </xf>
    <xf numFmtId="171" fontId="15" fillId="5" borderId="0" xfId="0" applyNumberFormat="1" applyFont="1" applyFill="1" applyAlignment="1">
      <alignment shrinkToFit="1"/>
    </xf>
    <xf numFmtId="171" fontId="16" fillId="5" borderId="0" xfId="0" applyNumberFormat="1" applyFont="1" applyFill="1" applyAlignment="1">
      <alignment horizontal="right" shrinkToFit="1"/>
    </xf>
    <xf numFmtId="3" fontId="16" fillId="5" borderId="0" xfId="0" applyNumberFormat="1" applyFont="1" applyFill="1" applyAlignment="1">
      <alignment horizontal="left" shrinkToFit="1" readingOrder="1"/>
    </xf>
    <xf numFmtId="3" fontId="16" fillId="5" borderId="14" xfId="0" applyNumberFormat="1" applyFont="1" applyFill="1" applyBorder="1" applyAlignment="1">
      <alignment horizontal="left" shrinkToFit="1" readingOrder="1"/>
    </xf>
    <xf numFmtId="171" fontId="35" fillId="0" borderId="0" xfId="0" applyNumberFormat="1" applyFont="1" applyAlignment="1">
      <alignment horizontal="right" shrinkToFit="1"/>
    </xf>
    <xf numFmtId="171" fontId="34" fillId="0" borderId="0" xfId="0" applyNumberFormat="1" applyFont="1" applyAlignment="1">
      <alignment horizontal="center" shrinkToFit="1"/>
    </xf>
    <xf numFmtId="171" fontId="30" fillId="0" borderId="1" xfId="0" applyNumberFormat="1" applyFont="1" applyBorder="1" applyAlignment="1">
      <alignment horizontal="right"/>
    </xf>
    <xf numFmtId="171" fontId="36" fillId="0" borderId="0" xfId="0" applyNumberFormat="1" applyFont="1" applyAlignment="1">
      <alignment horizontal="center" shrinkToFit="1" readingOrder="1"/>
    </xf>
    <xf numFmtId="171" fontId="36" fillId="0" borderId="14" xfId="0" applyNumberFormat="1" applyFont="1" applyBorder="1" applyAlignment="1">
      <alignment horizontal="center" shrinkToFit="1" readingOrder="1"/>
    </xf>
    <xf numFmtId="9" fontId="34" fillId="0" borderId="0" xfId="0" applyNumberFormat="1" applyFont="1" applyAlignment="1">
      <alignment horizontal="center" shrinkToFit="1"/>
    </xf>
    <xf numFmtId="9" fontId="36" fillId="0" borderId="0" xfId="0" applyNumberFormat="1" applyFont="1" applyAlignment="1">
      <alignment horizontal="center" shrinkToFit="1" readingOrder="1"/>
    </xf>
    <xf numFmtId="9" fontId="36" fillId="0" borderId="14" xfId="0" applyNumberFormat="1" applyFont="1" applyBorder="1" applyAlignment="1">
      <alignment horizontal="center" shrinkToFit="1" readingOrder="1"/>
    </xf>
    <xf numFmtId="169" fontId="36" fillId="0" borderId="14" xfId="0" applyNumberFormat="1" applyFont="1" applyBorder="1" applyAlignment="1">
      <alignment horizontal="center" shrinkToFit="1" readingOrder="1"/>
    </xf>
    <xf numFmtId="169" fontId="36" fillId="0" borderId="0" xfId="0" applyNumberFormat="1" applyFont="1" applyAlignment="1">
      <alignment horizontal="center" shrinkToFit="1" readingOrder="1"/>
    </xf>
    <xf numFmtId="3" fontId="1" fillId="0" borderId="1" xfId="0" applyNumberFormat="1" applyFont="1" applyBorder="1"/>
    <xf numFmtId="171" fontId="5" fillId="0" borderId="1" xfId="0" applyNumberFormat="1" applyFont="1" applyBorder="1" applyAlignment="1">
      <alignment horizontal="right"/>
    </xf>
    <xf numFmtId="9" fontId="9" fillId="2" borderId="21" xfId="0" applyNumberFormat="1" applyFont="1" applyFill="1" applyBorder="1" applyAlignment="1">
      <alignment horizontal="right" readingOrder="1"/>
    </xf>
    <xf numFmtId="9" fontId="9" fillId="2" borderId="22" xfId="0" applyNumberFormat="1" applyFont="1" applyFill="1" applyBorder="1" applyAlignment="1">
      <alignment horizontal="right" readingOrder="1"/>
    </xf>
    <xf numFmtId="3" fontId="36" fillId="0" borderId="0" xfId="0" applyNumberFormat="1" applyFont="1" applyAlignment="1">
      <alignment horizontal="right" shrinkToFit="1" readingOrder="1"/>
    </xf>
    <xf numFmtId="9" fontId="9" fillId="2" borderId="24" xfId="0" applyNumberFormat="1" applyFont="1" applyFill="1" applyBorder="1" applyAlignment="1">
      <alignment horizontal="right" readingOrder="1"/>
    </xf>
    <xf numFmtId="9" fontId="9" fillId="2" borderId="25" xfId="0" applyNumberFormat="1" applyFont="1" applyFill="1" applyBorder="1" applyAlignment="1">
      <alignment horizontal="right" readingOrder="1"/>
    </xf>
    <xf numFmtId="171" fontId="37" fillId="0" borderId="0" xfId="0" applyNumberFormat="1" applyFont="1" applyAlignment="1">
      <alignment shrinkToFit="1"/>
    </xf>
    <xf numFmtId="3" fontId="38" fillId="0" borderId="0" xfId="0" applyNumberFormat="1" applyFont="1" applyAlignment="1">
      <alignment horizontal="left" shrinkToFit="1" readingOrder="1"/>
    </xf>
    <xf numFmtId="3" fontId="38" fillId="0" borderId="0" xfId="0" applyNumberFormat="1" applyFont="1" applyAlignment="1">
      <alignment horizontal="right" shrinkToFit="1" readingOrder="1"/>
    </xf>
    <xf numFmtId="177" fontId="39" fillId="0" borderId="0" xfId="0" applyNumberFormat="1" applyFont="1"/>
    <xf numFmtId="3" fontId="40" fillId="2" borderId="24" xfId="0" applyNumberFormat="1" applyFont="1" applyFill="1" applyBorder="1" applyAlignment="1">
      <alignment horizontal="right" readingOrder="1"/>
    </xf>
    <xf numFmtId="3" fontId="40" fillId="2" borderId="25" xfId="0" applyNumberFormat="1" applyFont="1" applyFill="1" applyBorder="1" applyAlignment="1">
      <alignment horizontal="right" readingOrder="1"/>
    </xf>
    <xf numFmtId="3" fontId="38" fillId="0" borderId="14" xfId="0" applyNumberFormat="1" applyFont="1" applyBorder="1" applyAlignment="1">
      <alignment horizontal="left" shrinkToFit="1" readingOrder="1"/>
    </xf>
    <xf numFmtId="178" fontId="9" fillId="2" borderId="24" xfId="0" applyNumberFormat="1" applyFont="1" applyFill="1" applyBorder="1" applyAlignment="1">
      <alignment horizontal="right" readingOrder="1"/>
    </xf>
    <xf numFmtId="178" fontId="9" fillId="2" borderId="25" xfId="0" applyNumberFormat="1" applyFont="1" applyFill="1" applyBorder="1" applyAlignment="1">
      <alignment horizontal="right" readingOrder="1"/>
    </xf>
    <xf numFmtId="178" fontId="40" fillId="2" borderId="24" xfId="0" applyNumberFormat="1" applyFont="1" applyFill="1" applyBorder="1" applyAlignment="1">
      <alignment horizontal="right" readingOrder="1"/>
    </xf>
    <xf numFmtId="178" fontId="40" fillId="2" borderId="25" xfId="0" applyNumberFormat="1" applyFont="1" applyFill="1" applyBorder="1" applyAlignment="1">
      <alignment horizontal="right" readingOrder="1"/>
    </xf>
    <xf numFmtId="177" fontId="11" fillId="0" borderId="0" xfId="0" applyNumberFormat="1" applyFont="1"/>
    <xf numFmtId="3" fontId="35" fillId="0" borderId="0" xfId="0" applyNumberFormat="1" applyFont="1" applyAlignment="1">
      <alignment horizontal="left" shrinkToFit="1" readingOrder="1"/>
    </xf>
    <xf numFmtId="171" fontId="5" fillId="0" borderId="0" xfId="0" applyNumberFormat="1" applyFont="1"/>
    <xf numFmtId="171" fontId="1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71" fontId="2" fillId="0" borderId="1" xfId="0" applyNumberFormat="1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71" fontId="1" fillId="0" borderId="1" xfId="0" applyNumberFormat="1" applyFont="1" applyBorder="1"/>
    <xf numFmtId="164" fontId="41" fillId="0" borderId="1" xfId="0" applyNumberFormat="1" applyFont="1" applyBorder="1" applyAlignment="1">
      <alignment horizontal="center"/>
    </xf>
    <xf numFmtId="164" fontId="4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5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71" fontId="4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44" fillId="0" borderId="1" xfId="0" applyFont="1" applyBorder="1" applyAlignment="1">
      <alignment vertical="center"/>
    </xf>
    <xf numFmtId="164" fontId="1" fillId="0" borderId="1" xfId="0" applyNumberFormat="1" applyFont="1" applyBorder="1"/>
    <xf numFmtId="164" fontId="7" fillId="0" borderId="1" xfId="0" applyNumberFormat="1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left"/>
    </xf>
    <xf numFmtId="0" fontId="45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171" fontId="1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left"/>
    </xf>
    <xf numFmtId="179" fontId="1" fillId="0" borderId="1" xfId="0" applyNumberFormat="1" applyFont="1" applyBorder="1" applyAlignment="1">
      <alignment horizontal="left"/>
    </xf>
    <xf numFmtId="179" fontId="1" fillId="0" borderId="30" xfId="0" applyNumberFormat="1" applyFont="1" applyBorder="1" applyAlignment="1">
      <alignment horizontal="left"/>
    </xf>
    <xf numFmtId="1" fontId="1" fillId="0" borderId="1" xfId="0" applyNumberFormat="1" applyFont="1" applyBorder="1"/>
    <xf numFmtId="0" fontId="30" fillId="0" borderId="1" xfId="0" applyFont="1" applyBorder="1"/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7" fillId="5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1" fillId="0" borderId="30" xfId="0" applyFont="1" applyBorder="1"/>
    <xf numFmtId="171" fontId="1" fillId="0" borderId="30" xfId="0" applyNumberFormat="1" applyFont="1" applyBorder="1"/>
    <xf numFmtId="172" fontId="1" fillId="0" borderId="1" xfId="0" applyNumberFormat="1" applyFont="1" applyBorder="1"/>
    <xf numFmtId="169" fontId="1" fillId="0" borderId="1" xfId="0" applyNumberFormat="1" applyFont="1" applyBorder="1"/>
    <xf numFmtId="0" fontId="5" fillId="0" borderId="32" xfId="0" applyFont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0" fontId="48" fillId="0" borderId="32" xfId="0" applyFont="1" applyBorder="1" applyAlignment="1">
      <alignment vertical="center"/>
    </xf>
    <xf numFmtId="164" fontId="1" fillId="0" borderId="32" xfId="0" applyNumberFormat="1" applyFont="1" applyBorder="1" applyAlignment="1">
      <alignment horizontal="right" vertical="center"/>
    </xf>
    <xf numFmtId="1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left" vertical="center"/>
    </xf>
    <xf numFmtId="0" fontId="1" fillId="0" borderId="32" xfId="0" applyFont="1" applyBorder="1"/>
    <xf numFmtId="172" fontId="1" fillId="0" borderId="32" xfId="0" applyNumberFormat="1" applyFont="1" applyBorder="1"/>
    <xf numFmtId="171" fontId="1" fillId="0" borderId="32" xfId="0" applyNumberFormat="1" applyFont="1" applyBorder="1" applyAlignment="1">
      <alignment horizontal="center"/>
    </xf>
    <xf numFmtId="0" fontId="1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33" xfId="0" applyFont="1" applyBorder="1"/>
    <xf numFmtId="0" fontId="1" fillId="0" borderId="8" xfId="0" applyFont="1" applyBorder="1"/>
    <xf numFmtId="0" fontId="1" fillId="0" borderId="31" xfId="0" applyFont="1" applyBorder="1"/>
    <xf numFmtId="0" fontId="1" fillId="0" borderId="6" xfId="0" applyFont="1" applyBorder="1"/>
    <xf numFmtId="16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1" xfId="0" applyFont="1" applyBorder="1" applyAlignment="1">
      <alignment horizontal="right"/>
    </xf>
    <xf numFmtId="164" fontId="1" fillId="0" borderId="31" xfId="0" applyNumberFormat="1" applyFont="1" applyBorder="1" applyAlignment="1">
      <alignment horizontal="center" vertical="center"/>
    </xf>
    <xf numFmtId="172" fontId="1" fillId="0" borderId="6" xfId="0" applyNumberFormat="1" applyFont="1" applyBorder="1"/>
    <xf numFmtId="171" fontId="1" fillId="0" borderId="6" xfId="0" applyNumberFormat="1" applyFont="1" applyBorder="1" applyAlignment="1">
      <alignment horizontal="center"/>
    </xf>
    <xf numFmtId="0" fontId="11" fillId="0" borderId="6" xfId="0" applyFont="1" applyBorder="1"/>
    <xf numFmtId="0" fontId="1" fillId="0" borderId="6" xfId="0" applyFont="1" applyBorder="1" applyAlignment="1">
      <alignment horizontal="left"/>
    </xf>
    <xf numFmtId="171" fontId="1" fillId="0" borderId="7" xfId="0" applyNumberFormat="1" applyFont="1" applyBorder="1"/>
    <xf numFmtId="0" fontId="1" fillId="0" borderId="30" xfId="0" applyFont="1" applyBorder="1" applyAlignment="1">
      <alignment horizontal="right"/>
    </xf>
    <xf numFmtId="9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164" fontId="1" fillId="0" borderId="32" xfId="0" applyNumberFormat="1" applyFont="1" applyBorder="1" applyAlignment="1">
      <alignment horizontal="center" vertical="center"/>
    </xf>
    <xf numFmtId="171" fontId="1" fillId="0" borderId="8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right"/>
    </xf>
    <xf numFmtId="0" fontId="1" fillId="0" borderId="31" xfId="0" applyFont="1" applyBorder="1" applyAlignment="1">
      <alignment horizontal="center" vertical="center"/>
    </xf>
    <xf numFmtId="164" fontId="1" fillId="0" borderId="6" xfId="0" applyNumberFormat="1" applyFont="1" applyBorder="1"/>
    <xf numFmtId="0" fontId="5" fillId="0" borderId="8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right"/>
    </xf>
    <xf numFmtId="3" fontId="1" fillId="0" borderId="8" xfId="0" applyNumberFormat="1" applyFont="1" applyBorder="1"/>
    <xf numFmtId="164" fontId="1" fillId="0" borderId="31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right"/>
    </xf>
    <xf numFmtId="171" fontId="1" fillId="0" borderId="31" xfId="0" applyNumberFormat="1" applyFont="1" applyBorder="1" applyAlignment="1">
      <alignment horizontal="center" vertical="center"/>
    </xf>
    <xf numFmtId="171" fontId="49" fillId="0" borderId="5" xfId="0" applyNumberFormat="1" applyFont="1" applyBorder="1"/>
    <xf numFmtId="9" fontId="49" fillId="0" borderId="1" xfId="0" applyNumberFormat="1" applyFont="1" applyBorder="1"/>
    <xf numFmtId="170" fontId="1" fillId="0" borderId="30" xfId="0" applyNumberFormat="1" applyFont="1" applyBorder="1"/>
    <xf numFmtId="3" fontId="1" fillId="0" borderId="30" xfId="0" applyNumberFormat="1" applyFont="1" applyBorder="1"/>
    <xf numFmtId="171" fontId="1" fillId="0" borderId="30" xfId="0" applyNumberFormat="1" applyFont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11" fillId="0" borderId="30" xfId="0" applyFont="1" applyBorder="1"/>
    <xf numFmtId="171" fontId="1" fillId="0" borderId="34" xfId="0" applyNumberFormat="1" applyFont="1" applyBorder="1"/>
    <xf numFmtId="9" fontId="1" fillId="0" borderId="30" xfId="0" applyNumberFormat="1" applyFont="1" applyBorder="1"/>
    <xf numFmtId="0" fontId="5" fillId="0" borderId="4" xfId="0" applyFont="1" applyBorder="1" applyAlignment="1">
      <alignment horizontal="center" vertical="center"/>
    </xf>
    <xf numFmtId="0" fontId="1" fillId="0" borderId="4" xfId="0" applyFont="1" applyBorder="1"/>
    <xf numFmtId="164" fontId="1" fillId="0" borderId="35" xfId="0" applyNumberFormat="1" applyFont="1" applyBorder="1" applyAlignment="1">
      <alignment horizontal="center"/>
    </xf>
    <xf numFmtId="3" fontId="1" fillId="0" borderId="35" xfId="0" applyNumberFormat="1" applyFont="1" applyBorder="1" applyAlignment="1">
      <alignment horizontal="center"/>
    </xf>
    <xf numFmtId="164" fontId="1" fillId="0" borderId="35" xfId="0" applyNumberFormat="1" applyFont="1" applyBorder="1" applyAlignment="1">
      <alignment horizontal="right"/>
    </xf>
    <xf numFmtId="171" fontId="1" fillId="0" borderId="35" xfId="0" applyNumberFormat="1" applyFont="1" applyBorder="1"/>
    <xf numFmtId="0" fontId="1" fillId="0" borderId="4" xfId="0" applyFont="1" applyBorder="1" applyAlignment="1">
      <alignment horizontal="left"/>
    </xf>
    <xf numFmtId="3" fontId="1" fillId="0" borderId="4" xfId="0" applyNumberFormat="1" applyFont="1" applyBorder="1"/>
    <xf numFmtId="171" fontId="1" fillId="0" borderId="4" xfId="0" applyNumberFormat="1" applyFont="1" applyBorder="1"/>
    <xf numFmtId="9" fontId="1" fillId="0" borderId="4" xfId="0" applyNumberFormat="1" applyFont="1" applyBorder="1"/>
    <xf numFmtId="9" fontId="5" fillId="0" borderId="1" xfId="0" applyNumberFormat="1" applyFont="1" applyBorder="1"/>
    <xf numFmtId="171" fontId="5" fillId="0" borderId="1" xfId="0" applyNumberFormat="1" applyFont="1" applyBorder="1"/>
    <xf numFmtId="44" fontId="1" fillId="3" borderId="1" xfId="0" applyNumberFormat="1" applyFont="1" applyFill="1" applyBorder="1"/>
    <xf numFmtId="0" fontId="1" fillId="3" borderId="1" xfId="0" applyFont="1" applyFill="1" applyBorder="1"/>
    <xf numFmtId="164" fontId="50" fillId="0" borderId="30" xfId="0" applyNumberFormat="1" applyFont="1" applyBorder="1" applyAlignment="1">
      <alignment horizontal="center"/>
    </xf>
    <xf numFmtId="0" fontId="51" fillId="0" borderId="4" xfId="0" applyFont="1" applyBorder="1" applyAlignment="1">
      <alignment vertical="center"/>
    </xf>
    <xf numFmtId="44" fontId="1" fillId="3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/>
    <xf numFmtId="170" fontId="1" fillId="0" borderId="1" xfId="0" applyNumberFormat="1" applyFont="1" applyBorder="1" applyAlignment="1">
      <alignment horizontal="center"/>
    </xf>
    <xf numFmtId="0" fontId="52" fillId="0" borderId="1" xfId="0" applyFont="1" applyBorder="1"/>
    <xf numFmtId="3" fontId="1" fillId="0" borderId="1" xfId="0" applyNumberFormat="1" applyFont="1" applyBorder="1" applyAlignment="1">
      <alignment horizontal="left"/>
    </xf>
    <xf numFmtId="170" fontId="1" fillId="0" borderId="1" xfId="0" applyNumberFormat="1" applyFont="1" applyBorder="1"/>
    <xf numFmtId="178" fontId="1" fillId="0" borderId="1" xfId="0" applyNumberFormat="1" applyFont="1" applyBorder="1"/>
    <xf numFmtId="0" fontId="53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vertical="center"/>
    </xf>
    <xf numFmtId="0" fontId="54" fillId="0" borderId="1" xfId="0" applyFont="1" applyBorder="1"/>
    <xf numFmtId="3" fontId="55" fillId="0" borderId="1" xfId="0" applyNumberFormat="1" applyFont="1" applyBorder="1"/>
    <xf numFmtId="0" fontId="1" fillId="0" borderId="29" xfId="0" applyFont="1" applyBorder="1"/>
    <xf numFmtId="171" fontId="1" fillId="0" borderId="29" xfId="0" applyNumberFormat="1" applyFont="1" applyBorder="1"/>
    <xf numFmtId="0" fontId="56" fillId="0" borderId="1" xfId="0" applyFont="1" applyBorder="1" applyAlignment="1">
      <alignment vertical="center"/>
    </xf>
    <xf numFmtId="0" fontId="5" fillId="0" borderId="36" xfId="0" applyFont="1" applyBorder="1" applyAlignment="1">
      <alignment horizontal="center" vertic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36" xfId="0" applyFont="1" applyBorder="1"/>
    <xf numFmtId="0" fontId="5" fillId="0" borderId="40" xfId="0" applyFont="1" applyBorder="1" applyAlignment="1">
      <alignment horizontal="center" vertical="center"/>
    </xf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0" xfId="0" applyFont="1" applyBorder="1"/>
    <xf numFmtId="0" fontId="5" fillId="0" borderId="42" xfId="0" applyFont="1" applyBorder="1" applyAlignment="1">
      <alignment horizontal="center" vertical="center"/>
    </xf>
    <xf numFmtId="164" fontId="1" fillId="0" borderId="38" xfId="0" applyNumberFormat="1" applyFont="1" applyBorder="1"/>
    <xf numFmtId="164" fontId="1" fillId="0" borderId="36" xfId="0" applyNumberFormat="1" applyFont="1" applyBorder="1"/>
    <xf numFmtId="0" fontId="1" fillId="0" borderId="44" xfId="0" applyFont="1" applyBorder="1"/>
    <xf numFmtId="0" fontId="1" fillId="0" borderId="37" xfId="0" applyFont="1" applyBorder="1" applyAlignment="1">
      <alignment horizontal="left"/>
    </xf>
    <xf numFmtId="164" fontId="1" fillId="0" borderId="42" xfId="0" applyNumberFormat="1" applyFont="1" applyBorder="1"/>
    <xf numFmtId="164" fontId="1" fillId="0" borderId="40" xfId="0" applyNumberFormat="1" applyFont="1" applyBorder="1"/>
    <xf numFmtId="0" fontId="1" fillId="0" borderId="45" xfId="0" applyFont="1" applyBorder="1"/>
    <xf numFmtId="0" fontId="1" fillId="0" borderId="41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46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3" fillId="4" borderId="11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13" fillId="4" borderId="13" xfId="0" applyFont="1" applyFill="1" applyBorder="1" applyAlignment="1">
      <alignment horizontal="center"/>
    </xf>
    <xf numFmtId="171" fontId="13" fillId="4" borderId="0" xfId="0" applyNumberFormat="1" applyFont="1" applyFill="1" applyAlignment="1">
      <alignment horizontal="center"/>
    </xf>
    <xf numFmtId="0" fontId="3" fillId="0" borderId="14" xfId="0" applyFont="1" applyBorder="1"/>
    <xf numFmtId="0" fontId="15" fillId="5" borderId="0" xfId="0" applyFont="1" applyFill="1" applyAlignment="1">
      <alignment horizontal="center" vertical="center" shrinkToFit="1"/>
    </xf>
    <xf numFmtId="0" fontId="29" fillId="0" borderId="3" xfId="0" applyFont="1" applyBorder="1" applyAlignment="1">
      <alignment horizontal="center" vertical="center" wrapText="1" readingOrder="1"/>
    </xf>
    <xf numFmtId="0" fontId="3" fillId="0" borderId="2" xfId="0" applyFont="1" applyBorder="1"/>
    <xf numFmtId="0" fontId="29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171" fontId="13" fillId="4" borderId="15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3" fillId="0" borderId="29" xfId="0" applyFont="1" applyBorder="1"/>
    <xf numFmtId="0" fontId="3" fillId="0" borderId="5" xfId="0" applyFont="1" applyBorder="1"/>
    <xf numFmtId="0" fontId="5" fillId="0" borderId="30" xfId="0" applyFont="1" applyBorder="1" applyAlignment="1">
      <alignment horizontal="center" vertical="center"/>
    </xf>
    <xf numFmtId="0" fontId="3" fillId="0" borderId="31" xfId="0" applyFont="1" applyBorder="1"/>
    <xf numFmtId="0" fontId="3" fillId="0" borderId="6" xfId="0" applyFont="1" applyBorder="1"/>
    <xf numFmtId="3" fontId="5" fillId="0" borderId="30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3" fillId="0" borderId="32" xfId="0" applyFont="1" applyBorder="1"/>
    <xf numFmtId="3" fontId="5" fillId="0" borderId="35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left" vertical="center"/>
    </xf>
    <xf numFmtId="44" fontId="1" fillId="3" borderId="30" xfId="0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171" fontId="30" fillId="13" borderId="1" xfId="0" applyNumberFormat="1" applyFont="1" applyFill="1" applyBorder="1" applyAlignment="1">
      <alignment horizontal="right"/>
    </xf>
    <xf numFmtId="9" fontId="30" fillId="13" borderId="1" xfId="0" applyNumberFormat="1" applyFont="1" applyFill="1" applyBorder="1" applyAlignment="1">
      <alignment horizontal="right"/>
    </xf>
    <xf numFmtId="0" fontId="30" fillId="13" borderId="1" xfId="0" applyFont="1" applyFill="1" applyBorder="1" applyAlignment="1">
      <alignment horizontal="right"/>
    </xf>
    <xf numFmtId="169" fontId="1" fillId="13" borderId="0" xfId="0" applyNumberFormat="1" applyFont="1" applyFill="1" applyAlignment="1">
      <alignment vertical="top"/>
    </xf>
    <xf numFmtId="171" fontId="5" fillId="13" borderId="0" xfId="0" applyNumberFormat="1" applyFont="1" applyFill="1"/>
    <xf numFmtId="3" fontId="59" fillId="12" borderId="26" xfId="0" applyNumberFormat="1" applyFont="1" applyFill="1" applyBorder="1" applyAlignment="1">
      <alignment horizontal="left" shrinkToFit="1" readingOrder="1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59</xdr:row>
      <xdr:rowOff>127000</xdr:rowOff>
    </xdr:from>
    <xdr:to>
      <xdr:col>18</xdr:col>
      <xdr:colOff>190500</xdr:colOff>
      <xdr:row>65</xdr:row>
      <xdr:rowOff>50800</xdr:rowOff>
    </xdr:to>
    <xdr:sp macro="" textlink="">
      <xdr:nvSpPr>
        <xdr:cNvPr id="2067" name="Text Box 19" hidden="1">
          <a:extLst>
            <a:ext uri="{FF2B5EF4-FFF2-40B4-BE49-F238E27FC236}">
              <a16:creationId xmlns:a16="http://schemas.microsoft.com/office/drawing/2014/main" id="{22C57362-1E31-A40F-1DE0-EE290569A445}"/>
            </a:ext>
          </a:extLst>
        </xdr:cNvPr>
        <xdr:cNvSpPr txBox="1">
          <a:spLocks noChangeArrowheads="1"/>
        </xdr:cNvSpPr>
      </xdr:nvSpPr>
      <xdr:spPr bwMode="auto">
        <a:xfrm>
          <a:off x="3124200" y="11620500"/>
          <a:ext cx="24003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</xdr:col>
      <xdr:colOff>190500</xdr:colOff>
      <xdr:row>59</xdr:row>
      <xdr:rowOff>127000</xdr:rowOff>
    </xdr:from>
    <xdr:to>
      <xdr:col>22</xdr:col>
      <xdr:colOff>190500</xdr:colOff>
      <xdr:row>65</xdr:row>
      <xdr:rowOff>50800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B62EB518-3358-BEA4-2E87-93856FC872F6}"/>
            </a:ext>
          </a:extLst>
        </xdr:cNvPr>
        <xdr:cNvSpPr txBox="1">
          <a:spLocks noChangeArrowheads="1"/>
        </xdr:cNvSpPr>
      </xdr:nvSpPr>
      <xdr:spPr bwMode="auto">
        <a:xfrm>
          <a:off x="5524500" y="11620500"/>
          <a:ext cx="2946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ias Belete" id="{AC13BF92-E483-4ACC-958F-E332BEF375C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2" dT="2026-02-09T09:13:52.00" personId="{AC13BF92-E483-4ACC-958F-E332BEF375C7}" id="{7CE28524-F4B5-439E-9FFC-78D819AEAFC7}" done="1">
    <text>30% stock threshold of staples</text>
  </threadedComment>
  <threadedComment ref="I23" dT="2026-03-02T08:33:24.00" personId="{AC13BF92-E483-4ACC-958F-E332BEF375C7}" id="{F78A28B5-D116-4324-ACF3-4DD22694F504}" done="1">
    <text>MATIAS $200</text>
  </threadedComment>
  <threadedComment ref="Z23" dT="2026-03-17T08:12:55.00" personId="{AC13BF92-E483-4ACC-958F-E332BEF375C7}" id="{D73E6323-259B-4C2E-A685-C3FCEB4F12E5}" done="1">
    <text>9% profit unlocked</text>
  </threadedComment>
  <threadedComment ref="AD23" dT="2026-03-17T09:10:00.00" personId="{AC13BF92-E483-4ACC-958F-E332BEF375C7}" id="{EDCAE328-DDA5-4B6B-BBB4-1ACCC50DB83F}">
    <text>6% profit unlocked</text>
  </threadedComment>
  <threadedComment ref="I27" dT="2026-03-09T07:34:54.00" personId="{AC13BF92-E483-4ACC-958F-E332BEF375C7}" id="{627AB5B3-72BE-493F-8304-AB3C194F253E}" done="1">
    <text>$1000 CHASE REWARDS NEED TO HIT</text>
  </threadedComment>
  <threadedComment ref="J29" dT="2026-03-09T10:28:49.00" personId="{AC13BF92-E483-4ACC-958F-E332BEF375C7}" id="{F96345A8-1282-4475-AEEF-E2743992C285}" done="1">
    <text>could include it</text>
  </threadedComment>
  <threadedComment ref="B48" dT="2026-01-28T18:49:28.00" personId="{AC13BF92-E483-4ACC-958F-E332BEF375C7}" id="{3AED4409-347C-4D4F-8B22-CDB5364FC912}" done="1">
    <text>how can we reconcile this for Ops Engine payment dates</text>
  </threadedComment>
  <threadedComment ref="G49" dT="2026-02-24T08:02:33.00" personId="{AC13BF92-E483-4ACC-958F-E332BEF375C7}" id="{263647C9-FD02-482C-87E7-77F15FB4E38A}">
    <text>franchise tax</text>
  </threadedComment>
  <threadedComment ref="N49" dT="2026-02-24T08:02:47.00" personId="{AC13BF92-E483-4ACC-958F-E332BEF375C7}" id="{BC052103-F479-4520-AEA0-39DA2F319509}" done="1">
    <text>franchise tax</text>
  </threadedComment>
  <threadedComment ref="R49" dT="2026-02-24T08:02:41.00" personId="{AC13BF92-E483-4ACC-958F-E332BEF375C7}" id="{8F6D437B-C377-4E21-ABF6-5BA541FF4B82}" done="1">
    <text>franchise tax</text>
  </threadedComment>
  <threadedComment ref="M51" dT="2026-02-24T08:03:19.00" personId="{AC13BF92-E483-4ACC-958F-E332BEF375C7}" id="{C4484B06-1070-4B0E-AB5C-24ED15748276}" done="1">
    <text>s-corp annual report</text>
  </threadedComment>
  <threadedComment ref="R51" dT="2026-02-24T08:03:27.00" personId="{AC13BF92-E483-4ACC-958F-E332BEF375C7}" id="{AC004B2D-55AA-486E-B6FF-6BB78547C3E3}" done="1">
    <text>s-corp annual report</text>
  </threadedComment>
  <threadedComment ref="W51" dT="2026-02-24T08:03:23.00" personId="{AC13BF92-E483-4ACC-958F-E332BEF375C7}" id="{B535E7D0-4D5C-498D-9D82-BAA44336592F}" done="1">
    <text>s-corp annual report</text>
  </threadedComment>
  <threadedComment ref="Q54" dT="2026-02-24T07:32:45.00" personId="{AC13BF92-E483-4ACC-958F-E332BEF375C7}" id="{5200677B-3553-4490-A26D-7459CDE029B9}" done="1">
    <text>Chase bonus</text>
  </threadedComment>
  <threadedComment ref="G59" dT="2026-02-24T07:32:59.00" personId="{AC13BF92-E483-4ACC-958F-E332BEF375C7}" id="{1A78CB52-BCD3-4870-A2A2-323C19A2F57C}" done="1">
    <text>scorp tax bill</text>
  </threadedComment>
  <threadedComment ref="N59" dT="2026-02-24T07:24:28.00" personId="{AC13BF92-E483-4ACC-958F-E332BEF375C7}" id="{1B17904F-A305-40D6-B77E-997D8680BF6C}" done="1">
    <text>scorp tax bill</text>
  </threadedComment>
  <threadedComment ref="R59" dT="2026-03-02T07:34:34.00" personId="{AC13BF92-E483-4ACC-958F-E332BEF375C7}" id="{B72702D7-2CE1-4271-BAB1-AD7A77E93D69}" done="1">
    <text>franchise tax + $30 on scorp annual report</text>
  </threadedComment>
  <threadedComment ref="W59" dT="2026-03-02T07:35:08.00" personId="{AC13BF92-E483-4ACC-958F-E332BEF375C7}" id="{43930AB0-9B16-41AA-A4B9-8EB03A5B9B04}" done="1">
    <text>s-corp annual report</text>
  </threadedComment>
  <threadedComment ref="I62" dT="2026-03-02T08:41:11.00" personId="{AC13BF92-E483-4ACC-958F-E332BEF375C7}" id="{F1510599-8511-434F-9E65-F643F9D0E241}" done="1">
    <text>pay tom $85</text>
  </threadedComment>
  <threadedComment ref="I81" dT="2026-03-09T08:21:44.00" personId="{AC13BF92-E483-4ACC-958F-E332BEF375C7}" id="{CFBE20E7-CCB5-4C66-A092-A0C8696E9157}">
    <text>tried meds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0" dT="2026-02-12T15:32:24.00" personId="{AC13BF92-E483-4ACC-958F-E332BEF375C7}" id="{B100CB31-BCFB-4F1F-9824-A44859B68E71}" done="1">
    <text>cancel and get 1 month free on feb25</text>
  </threadedComment>
  <threadedComment ref="C12" dT="2026-02-16T07:53:31.00" personId="{AC13BF92-E483-4ACC-958F-E332BEF375C7}" id="{7F78E71D-1652-46A3-8F00-47F9AB502A68}" done="1">
    <text>markus subscription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ccount.adobe.com/" TargetMode="External"/><Relationship Id="rId13" Type="http://schemas.openxmlformats.org/officeDocument/2006/relationships/hyperlink" Target="https://www.replo.app/pricing" TargetMode="External"/><Relationship Id="rId18" Type="http://schemas.openxmlformats.org/officeDocument/2006/relationships/hyperlink" Target="https://clo3d.com/en/accounts/billing" TargetMode="External"/><Relationship Id="rId26" Type="http://schemas.openxmlformats.org/officeDocument/2006/relationships/hyperlink" Target="https://app.gusto.com/payroll_admin/company/billing?fundingMethodId=5a24d814-2541-43e7-831a-da5c9f528fdf" TargetMode="External"/><Relationship Id="rId3" Type="http://schemas.openxmlformats.org/officeDocument/2006/relationships/hyperlink" Target="https://home.finaloop.com/settings/billing" TargetMode="External"/><Relationship Id="rId21" Type="http://schemas.openxmlformats.org/officeDocument/2006/relationships/hyperlink" Target="https://apps.shopify.com/customer-support?search_id=8d7a86fd-9b74-4278-85bd-1007a88abaa8&amp;shallow_install_type=search&amp;surface_detail=richpanel&amp;surface_inter_position=1&amp;surface_intra_position=1&amp;surface_type=search" TargetMode="External"/><Relationship Id="rId7" Type="http://schemas.openxmlformats.org/officeDocument/2006/relationships/hyperlink" Target="https://mail.google.com/mail/u/0/" TargetMode="External"/><Relationship Id="rId12" Type="http://schemas.openxmlformats.org/officeDocument/2006/relationships/hyperlink" Target="https://apps.shopify.com/mida-session-recording-replay?search_id=5c957ca0-5b40-4e7b-b6bd-f687c6332cf9&amp;shallow_install_type=search&amp;surface_detail=mida&amp;surface_inter_position=1&amp;surface_intra_position=1&amp;surface_type=search" TargetMode="External"/><Relationship Id="rId17" Type="http://schemas.openxmlformats.org/officeDocument/2006/relationships/hyperlink" Target="https://apps.shopify.com/virtue?search_id=6e8b20b2-0f2f-4a0e-b711-cf85f5be05a4&amp;surface_detail=donation&amp;surface_inter_position=1&amp;surface_intra_position=8&amp;surface_type=search" TargetMode="External"/><Relationship Id="rId25" Type="http://schemas.openxmlformats.org/officeDocument/2006/relationships/hyperlink" Target="https://apps.shopify.com/returns-center-by-aftership?search_id=9fcbee2e-8cc9-4243-8a8f-f13247bb6a2e&amp;surface_detail=returns&amp;surface_inter_position=1&amp;surface_intra_position=8&amp;surface_type=search" TargetMode="External"/><Relationship Id="rId2" Type="http://schemas.openxmlformats.org/officeDocument/2006/relationships/hyperlink" Target="https://admin.shopify.com/store/foreignresource-com/settings/billing" TargetMode="External"/><Relationship Id="rId16" Type="http://schemas.openxmlformats.org/officeDocument/2006/relationships/hyperlink" Target="https://app.foreplay.co/dashboard?settings=billing" TargetMode="External"/><Relationship Id="rId20" Type="http://schemas.openxmlformats.org/officeDocument/2006/relationships/hyperlink" Target="https://www.loom.com/" TargetMode="External"/><Relationship Id="rId29" Type="http://schemas.microsoft.com/office/2017/10/relationships/threadedComment" Target="../threadedComments/threadedComment2.xml"/><Relationship Id="rId1" Type="http://schemas.openxmlformats.org/officeDocument/2006/relationships/hyperlink" Target="https://admin.google.com/ac/billing/accounts/WC_VKhWa5dHTgZgLIHOgpA/formsofpayment" TargetMode="External"/><Relationship Id="rId6" Type="http://schemas.openxmlformats.org/officeDocument/2006/relationships/hyperlink" Target="https://higgsfield.ai/me/settings/subscription" TargetMode="External"/><Relationship Id="rId11" Type="http://schemas.openxmlformats.org/officeDocument/2006/relationships/hyperlink" Target="https://apps.shopify.com/smile-io?ot=194722b3-aa48-47fc-bc2d-ade65943f3c5&amp;search_id=7d905b0d-01d4-44a8-85f0-6a310b6e895a&amp;surface_detail=Referral+Program&amp;surface_inter_position=1&amp;surface_intra_position=2&amp;surface_type=search_ad" TargetMode="External"/><Relationship Id="rId24" Type="http://schemas.openxmlformats.org/officeDocument/2006/relationships/hyperlink" Target="https://apps.shopify.com/aftersell?search_id=38101b5c-6f8c-4dc1-bf3d-5c4d297d3efe&amp;shallow_install_type=search&amp;surface_detail=aftersell&amp;surface_inter_position=1&amp;surface_intra_position=1&amp;surface_type=search" TargetMode="External"/><Relationship Id="rId5" Type="http://schemas.openxmlformats.org/officeDocument/2006/relationships/hyperlink" Target="https://www.klaviyo.com/settings/billing/overview" TargetMode="External"/><Relationship Id="rId15" Type="http://schemas.openxmlformats.org/officeDocument/2006/relationships/hyperlink" Target="https://projects.motionapp.com/organization/69b824802b6e921abe4f9915/69b824b7f831659cdc04a195" TargetMode="External"/><Relationship Id="rId23" Type="http://schemas.openxmlformats.org/officeDocument/2006/relationships/hyperlink" Target="https://apps.shopify.com/delivery-timer?search_id=e0af863e-338d-4abc-a061-b055adef1d12&amp;surface_detail=+DT%3A+Estimated+Delivery+Date+&amp;surface_inter_position=1&amp;surface_intra_position=5&amp;surface_type=search" TargetMode="External"/><Relationship Id="rId28" Type="http://schemas.openxmlformats.org/officeDocument/2006/relationships/comments" Target="../comments2.xml"/><Relationship Id="rId10" Type="http://schemas.openxmlformats.org/officeDocument/2006/relationships/hyperlink" Target="https://myaccount.microsoft.com/?ref=MeControl" TargetMode="External"/><Relationship Id="rId19" Type="http://schemas.openxmlformats.org/officeDocument/2006/relationships/hyperlink" Target="https://app.particl.com/dashboard/onboarding" TargetMode="External"/><Relationship Id="rId4" Type="http://schemas.openxmlformats.org/officeDocument/2006/relationships/hyperlink" Target="https://app.trykintsugi.com/configurations/billing-details" TargetMode="External"/><Relationship Id="rId9" Type="http://schemas.openxmlformats.org/officeDocument/2006/relationships/hyperlink" Target="https://clo3d.com/en/accounts/billing" TargetMode="External"/><Relationship Id="rId14" Type="http://schemas.openxmlformats.org/officeDocument/2006/relationships/hyperlink" Target="https://apps.shopify.com/intelligems?search_id=04d971ff-3e49-4aa1-831f-0614f08a3e15&amp;surface_detail=intelligems&amp;surface_inter_position=1&amp;surface_intra_position=5&amp;surface_type=search" TargetMode="External"/><Relationship Id="rId22" Type="http://schemas.openxmlformats.org/officeDocument/2006/relationships/hyperlink" Target="https://apps.shopify.com/kiwi-sizing?search_id=5d6d8266-da4a-4bf5-ae17-648d38bf989f&amp;surface_detail=size+guide&amp;surface_inter_position=1&amp;surface_intra_position=9&amp;surface_type=search" TargetMode="External"/><Relationship Id="rId27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91"/>
  <sheetViews>
    <sheetView showGridLines="0" workbookViewId="0">
      <pane xSplit="2" ySplit="4" topLeftCell="P5" activePane="bottomRight" state="frozen"/>
      <selection pane="topRight" activeCell="C1" sqref="C1"/>
      <selection pane="bottomLeft" activeCell="A5" sqref="A5"/>
      <selection pane="bottomRight" activeCell="A73" sqref="A73:A75"/>
    </sheetView>
  </sheetViews>
  <sheetFormatPr baseColWidth="10" defaultColWidth="14.5" defaultRowHeight="15" customHeight="1" x14ac:dyDescent="0.2"/>
  <cols>
    <col min="1" max="1" width="11" customWidth="1"/>
    <col min="2" max="2" width="30" customWidth="1"/>
    <col min="3" max="15" width="9.6640625" hidden="1" customWidth="1"/>
    <col min="16" max="62" width="9.6640625" customWidth="1"/>
  </cols>
  <sheetData>
    <row r="1" spans="1:62" ht="16" x14ac:dyDescent="0.2">
      <c r="A1" s="6"/>
      <c r="B1" s="7"/>
      <c r="C1" s="8"/>
      <c r="D1" s="9"/>
      <c r="E1" s="448" t="s">
        <v>2</v>
      </c>
      <c r="F1" s="449"/>
      <c r="G1" s="449"/>
      <c r="H1" s="450"/>
      <c r="I1" s="451" t="s">
        <v>3</v>
      </c>
      <c r="J1" s="449"/>
      <c r="K1" s="449"/>
      <c r="L1" s="450"/>
      <c r="M1" s="448" t="s">
        <v>4</v>
      </c>
      <c r="N1" s="449"/>
      <c r="O1" s="449"/>
      <c r="P1" s="450"/>
      <c r="Q1" s="448" t="s">
        <v>5</v>
      </c>
      <c r="R1" s="449"/>
      <c r="S1" s="449"/>
      <c r="T1" s="449"/>
      <c r="U1" s="450"/>
      <c r="V1" s="448" t="s">
        <v>6</v>
      </c>
      <c r="W1" s="449"/>
      <c r="X1" s="449"/>
      <c r="Y1" s="450"/>
      <c r="Z1" s="448" t="s">
        <v>7</v>
      </c>
      <c r="AA1" s="449"/>
      <c r="AB1" s="449"/>
      <c r="AC1" s="450"/>
      <c r="AD1" s="448" t="s">
        <v>8</v>
      </c>
      <c r="AE1" s="449"/>
      <c r="AF1" s="449"/>
      <c r="AG1" s="450"/>
      <c r="AH1" s="448" t="s">
        <v>9</v>
      </c>
      <c r="AI1" s="449"/>
      <c r="AJ1" s="449"/>
      <c r="AK1" s="450"/>
      <c r="AL1" s="448" t="s">
        <v>10</v>
      </c>
      <c r="AM1" s="449"/>
      <c r="AN1" s="449"/>
      <c r="AO1" s="450"/>
      <c r="AP1" s="448" t="s">
        <v>11</v>
      </c>
      <c r="AQ1" s="449"/>
      <c r="AR1" s="449"/>
      <c r="AS1" s="450"/>
      <c r="AT1" s="448" t="s">
        <v>12</v>
      </c>
      <c r="AU1" s="449"/>
      <c r="AV1" s="449"/>
      <c r="AW1" s="450"/>
      <c r="AX1" s="448" t="s">
        <v>13</v>
      </c>
      <c r="AY1" s="449"/>
      <c r="AZ1" s="449"/>
      <c r="BA1" s="450"/>
      <c r="BB1" s="448" t="s">
        <v>2</v>
      </c>
      <c r="BC1" s="449"/>
      <c r="BD1" s="449"/>
      <c r="BE1" s="450"/>
      <c r="BF1" s="448" t="s">
        <v>3</v>
      </c>
      <c r="BG1" s="449"/>
      <c r="BH1" s="449"/>
      <c r="BI1" s="450"/>
      <c r="BJ1" s="10"/>
    </row>
    <row r="2" spans="1:62" ht="16" x14ac:dyDescent="0.2">
      <c r="A2" s="6"/>
      <c r="B2" s="11">
        <f>SUM(E2:AW2)+10000</f>
        <v>190279.9911173954</v>
      </c>
      <c r="C2" s="8"/>
      <c r="D2" s="12"/>
      <c r="E2" s="452">
        <f>SUM(E5:H5)</f>
        <v>8225</v>
      </c>
      <c r="F2" s="447"/>
      <c r="G2" s="447"/>
      <c r="H2" s="447"/>
      <c r="I2" s="459">
        <f>SUM(I5:L5)</f>
        <v>6827</v>
      </c>
      <c r="J2" s="447"/>
      <c r="K2" s="447"/>
      <c r="L2" s="447"/>
      <c r="M2" s="459">
        <f>SUM(M5:P5)</f>
        <v>6544.333333333333</v>
      </c>
      <c r="N2" s="447"/>
      <c r="O2" s="447"/>
      <c r="P2" s="453"/>
      <c r="Q2" s="452">
        <f>SUM(Q5:U5)</f>
        <v>9200.5265885866665</v>
      </c>
      <c r="R2" s="447"/>
      <c r="S2" s="447"/>
      <c r="T2" s="447"/>
      <c r="U2" s="453"/>
      <c r="V2" s="452">
        <f>SUM(V5:Y5)</f>
        <v>8776.1150455790448</v>
      </c>
      <c r="W2" s="447"/>
      <c r="X2" s="447"/>
      <c r="Y2" s="453"/>
      <c r="Z2" s="452">
        <f>SUM(Z5:AC5)</f>
        <v>10266.813309615438</v>
      </c>
      <c r="AA2" s="447"/>
      <c r="AB2" s="447"/>
      <c r="AC2" s="453"/>
      <c r="AD2" s="452">
        <f>SUM(AD5:AG5)</f>
        <v>14127.091363636364</v>
      </c>
      <c r="AE2" s="447"/>
      <c r="AF2" s="447"/>
      <c r="AG2" s="453"/>
      <c r="AH2" s="452">
        <f>SUM(AH5:AK5)</f>
        <v>18517.734992360009</v>
      </c>
      <c r="AI2" s="447"/>
      <c r="AJ2" s="447"/>
      <c r="AK2" s="453"/>
      <c r="AL2" s="452">
        <f>SUM(AL5:AO5)</f>
        <v>24272.973142222887</v>
      </c>
      <c r="AM2" s="447"/>
      <c r="AN2" s="447"/>
      <c r="AO2" s="453"/>
      <c r="AP2" s="452">
        <f>SUM(AP5:AS5)</f>
        <v>31816.916345662925</v>
      </c>
      <c r="AQ2" s="447"/>
      <c r="AR2" s="447"/>
      <c r="AS2" s="453"/>
      <c r="AT2" s="452">
        <f>SUM(AT5:AW5)</f>
        <v>41705.486996398751</v>
      </c>
      <c r="AU2" s="447"/>
      <c r="AV2" s="447"/>
      <c r="AW2" s="453"/>
      <c r="AX2" s="452">
        <f>SUM(AX5:BA5)</f>
        <v>54667.385949986376</v>
      </c>
      <c r="AY2" s="447"/>
      <c r="AZ2" s="447"/>
      <c r="BA2" s="453"/>
      <c r="BB2" s="452">
        <f>SUM(BB5:BE5)</f>
        <v>71657.791380372219</v>
      </c>
      <c r="BC2" s="447"/>
      <c r="BD2" s="447"/>
      <c r="BE2" s="453"/>
      <c r="BF2" s="452">
        <f>SUM(BF5:BI5)</f>
        <v>93928.747026804311</v>
      </c>
      <c r="BG2" s="447"/>
      <c r="BH2" s="447"/>
      <c r="BI2" s="453"/>
      <c r="BJ2" s="10"/>
    </row>
    <row r="3" spans="1:62" ht="16" x14ac:dyDescent="0.2">
      <c r="A3" s="6"/>
      <c r="B3" s="7" t="s">
        <v>14</v>
      </c>
      <c r="C3" s="8"/>
      <c r="D3" s="12">
        <v>1</v>
      </c>
      <c r="E3" s="10">
        <f t="shared" ref="E3:BI3" si="0">D3+1</f>
        <v>2</v>
      </c>
      <c r="F3" s="10">
        <f t="shared" si="0"/>
        <v>3</v>
      </c>
      <c r="G3" s="10">
        <f t="shared" si="0"/>
        <v>4</v>
      </c>
      <c r="H3" s="10">
        <f t="shared" si="0"/>
        <v>5</v>
      </c>
      <c r="I3" s="13">
        <f t="shared" si="0"/>
        <v>6</v>
      </c>
      <c r="J3" s="10">
        <f t="shared" si="0"/>
        <v>7</v>
      </c>
      <c r="K3" s="10">
        <f t="shared" si="0"/>
        <v>8</v>
      </c>
      <c r="L3" s="12">
        <f t="shared" si="0"/>
        <v>9</v>
      </c>
      <c r="M3" s="13">
        <f t="shared" si="0"/>
        <v>10</v>
      </c>
      <c r="N3" s="10">
        <f t="shared" si="0"/>
        <v>11</v>
      </c>
      <c r="O3" s="10">
        <f t="shared" si="0"/>
        <v>12</v>
      </c>
      <c r="P3" s="12">
        <f t="shared" si="0"/>
        <v>13</v>
      </c>
      <c r="Q3" s="10">
        <f t="shared" si="0"/>
        <v>14</v>
      </c>
      <c r="R3" s="10">
        <f t="shared" si="0"/>
        <v>15</v>
      </c>
      <c r="S3" s="10">
        <f t="shared" si="0"/>
        <v>16</v>
      </c>
      <c r="T3" s="10">
        <f t="shared" si="0"/>
        <v>17</v>
      </c>
      <c r="U3" s="12">
        <f t="shared" si="0"/>
        <v>18</v>
      </c>
      <c r="V3" s="10">
        <f t="shared" si="0"/>
        <v>19</v>
      </c>
      <c r="W3" s="10">
        <f t="shared" si="0"/>
        <v>20</v>
      </c>
      <c r="X3" s="10">
        <f t="shared" si="0"/>
        <v>21</v>
      </c>
      <c r="Y3" s="12">
        <f t="shared" si="0"/>
        <v>22</v>
      </c>
      <c r="Z3" s="10">
        <f t="shared" si="0"/>
        <v>23</v>
      </c>
      <c r="AA3" s="10">
        <f t="shared" si="0"/>
        <v>24</v>
      </c>
      <c r="AB3" s="10">
        <f t="shared" si="0"/>
        <v>25</v>
      </c>
      <c r="AC3" s="12">
        <f t="shared" si="0"/>
        <v>26</v>
      </c>
      <c r="AD3" s="10">
        <f t="shared" si="0"/>
        <v>27</v>
      </c>
      <c r="AE3" s="10">
        <f t="shared" si="0"/>
        <v>28</v>
      </c>
      <c r="AF3" s="10">
        <f t="shared" si="0"/>
        <v>29</v>
      </c>
      <c r="AG3" s="12">
        <f t="shared" si="0"/>
        <v>30</v>
      </c>
      <c r="AH3" s="10">
        <f t="shared" si="0"/>
        <v>31</v>
      </c>
      <c r="AI3" s="10">
        <f t="shared" si="0"/>
        <v>32</v>
      </c>
      <c r="AJ3" s="10">
        <f t="shared" si="0"/>
        <v>33</v>
      </c>
      <c r="AK3" s="12">
        <f t="shared" si="0"/>
        <v>34</v>
      </c>
      <c r="AL3" s="10">
        <f t="shared" si="0"/>
        <v>35</v>
      </c>
      <c r="AM3" s="10">
        <f t="shared" si="0"/>
        <v>36</v>
      </c>
      <c r="AN3" s="10">
        <f t="shared" si="0"/>
        <v>37</v>
      </c>
      <c r="AO3" s="12">
        <f t="shared" si="0"/>
        <v>38</v>
      </c>
      <c r="AP3" s="10">
        <f t="shared" si="0"/>
        <v>39</v>
      </c>
      <c r="AQ3" s="10">
        <f t="shared" si="0"/>
        <v>40</v>
      </c>
      <c r="AR3" s="10">
        <f t="shared" si="0"/>
        <v>41</v>
      </c>
      <c r="AS3" s="12">
        <f t="shared" si="0"/>
        <v>42</v>
      </c>
      <c r="AT3" s="10">
        <f t="shared" si="0"/>
        <v>43</v>
      </c>
      <c r="AU3" s="10">
        <f t="shared" si="0"/>
        <v>44</v>
      </c>
      <c r="AV3" s="10">
        <f t="shared" si="0"/>
        <v>45</v>
      </c>
      <c r="AW3" s="12">
        <f t="shared" si="0"/>
        <v>46</v>
      </c>
      <c r="AX3" s="10">
        <f t="shared" si="0"/>
        <v>47</v>
      </c>
      <c r="AY3" s="10">
        <f t="shared" si="0"/>
        <v>48</v>
      </c>
      <c r="AZ3" s="10">
        <f t="shared" si="0"/>
        <v>49</v>
      </c>
      <c r="BA3" s="12">
        <f t="shared" si="0"/>
        <v>50</v>
      </c>
      <c r="BB3" s="10">
        <f t="shared" si="0"/>
        <v>51</v>
      </c>
      <c r="BC3" s="10">
        <f t="shared" si="0"/>
        <v>52</v>
      </c>
      <c r="BD3" s="10">
        <f t="shared" si="0"/>
        <v>53</v>
      </c>
      <c r="BE3" s="12">
        <f t="shared" si="0"/>
        <v>54</v>
      </c>
      <c r="BF3" s="10">
        <f t="shared" si="0"/>
        <v>55</v>
      </c>
      <c r="BG3" s="10">
        <f t="shared" si="0"/>
        <v>56</v>
      </c>
      <c r="BH3" s="10">
        <f t="shared" si="0"/>
        <v>57</v>
      </c>
      <c r="BI3" s="12">
        <f t="shared" si="0"/>
        <v>58</v>
      </c>
      <c r="BJ3" s="10"/>
    </row>
    <row r="4" spans="1:62" ht="16" x14ac:dyDescent="0.2">
      <c r="A4" s="6"/>
      <c r="B4" s="14" t="s">
        <v>15</v>
      </c>
      <c r="C4" s="15">
        <v>46048</v>
      </c>
      <c r="D4" s="16">
        <f t="shared" ref="D4:BI4" si="1">C4+7</f>
        <v>46055</v>
      </c>
      <c r="E4" s="17">
        <f t="shared" si="1"/>
        <v>46062</v>
      </c>
      <c r="F4" s="15">
        <f t="shared" si="1"/>
        <v>46069</v>
      </c>
      <c r="G4" s="15">
        <f t="shared" si="1"/>
        <v>46076</v>
      </c>
      <c r="H4" s="18">
        <f t="shared" si="1"/>
        <v>46083</v>
      </c>
      <c r="I4" s="19">
        <f t="shared" si="1"/>
        <v>46090</v>
      </c>
      <c r="J4" s="15">
        <f t="shared" si="1"/>
        <v>46097</v>
      </c>
      <c r="K4" s="15">
        <f t="shared" si="1"/>
        <v>46104</v>
      </c>
      <c r="L4" s="20">
        <f t="shared" si="1"/>
        <v>46111</v>
      </c>
      <c r="M4" s="19">
        <f t="shared" si="1"/>
        <v>46118</v>
      </c>
      <c r="N4" s="15">
        <f t="shared" si="1"/>
        <v>46125</v>
      </c>
      <c r="O4" s="15">
        <f t="shared" si="1"/>
        <v>46132</v>
      </c>
      <c r="P4" s="20">
        <f t="shared" si="1"/>
        <v>46139</v>
      </c>
      <c r="Q4" s="17">
        <f t="shared" si="1"/>
        <v>46146</v>
      </c>
      <c r="R4" s="15">
        <f t="shared" si="1"/>
        <v>46153</v>
      </c>
      <c r="S4" s="15">
        <f t="shared" si="1"/>
        <v>46160</v>
      </c>
      <c r="T4" s="15">
        <f t="shared" si="1"/>
        <v>46167</v>
      </c>
      <c r="U4" s="20">
        <f t="shared" si="1"/>
        <v>46174</v>
      </c>
      <c r="V4" s="17">
        <f t="shared" si="1"/>
        <v>46181</v>
      </c>
      <c r="W4" s="15">
        <f t="shared" si="1"/>
        <v>46188</v>
      </c>
      <c r="X4" s="15">
        <f t="shared" si="1"/>
        <v>46195</v>
      </c>
      <c r="Y4" s="20">
        <f t="shared" si="1"/>
        <v>46202</v>
      </c>
      <c r="Z4" s="17">
        <f t="shared" si="1"/>
        <v>46209</v>
      </c>
      <c r="AA4" s="15">
        <f t="shared" si="1"/>
        <v>46216</v>
      </c>
      <c r="AB4" s="15">
        <f t="shared" si="1"/>
        <v>46223</v>
      </c>
      <c r="AC4" s="20">
        <f t="shared" si="1"/>
        <v>46230</v>
      </c>
      <c r="AD4" s="17">
        <f t="shared" si="1"/>
        <v>46237</v>
      </c>
      <c r="AE4" s="15">
        <f t="shared" si="1"/>
        <v>46244</v>
      </c>
      <c r="AF4" s="15">
        <f t="shared" si="1"/>
        <v>46251</v>
      </c>
      <c r="AG4" s="20">
        <f t="shared" si="1"/>
        <v>46258</v>
      </c>
      <c r="AH4" s="17">
        <f t="shared" si="1"/>
        <v>46265</v>
      </c>
      <c r="AI4" s="15">
        <f t="shared" si="1"/>
        <v>46272</v>
      </c>
      <c r="AJ4" s="15">
        <f t="shared" si="1"/>
        <v>46279</v>
      </c>
      <c r="AK4" s="20">
        <f t="shared" si="1"/>
        <v>46286</v>
      </c>
      <c r="AL4" s="17">
        <f t="shared" si="1"/>
        <v>46293</v>
      </c>
      <c r="AM4" s="15">
        <f t="shared" si="1"/>
        <v>46300</v>
      </c>
      <c r="AN4" s="15">
        <f t="shared" si="1"/>
        <v>46307</v>
      </c>
      <c r="AO4" s="20">
        <f t="shared" si="1"/>
        <v>46314</v>
      </c>
      <c r="AP4" s="17">
        <f t="shared" si="1"/>
        <v>46321</v>
      </c>
      <c r="AQ4" s="15">
        <f t="shared" si="1"/>
        <v>46328</v>
      </c>
      <c r="AR4" s="15">
        <f t="shared" si="1"/>
        <v>46335</v>
      </c>
      <c r="AS4" s="20">
        <f t="shared" si="1"/>
        <v>46342</v>
      </c>
      <c r="AT4" s="17">
        <f t="shared" si="1"/>
        <v>46349</v>
      </c>
      <c r="AU4" s="15">
        <f t="shared" si="1"/>
        <v>46356</v>
      </c>
      <c r="AV4" s="15">
        <f t="shared" si="1"/>
        <v>46363</v>
      </c>
      <c r="AW4" s="20">
        <f t="shared" si="1"/>
        <v>46370</v>
      </c>
      <c r="AX4" s="17">
        <f t="shared" si="1"/>
        <v>46377</v>
      </c>
      <c r="AY4" s="15">
        <f t="shared" si="1"/>
        <v>46384</v>
      </c>
      <c r="AZ4" s="15">
        <f t="shared" si="1"/>
        <v>46391</v>
      </c>
      <c r="BA4" s="20">
        <f t="shared" si="1"/>
        <v>46398</v>
      </c>
      <c r="BB4" s="17">
        <f t="shared" si="1"/>
        <v>46405</v>
      </c>
      <c r="BC4" s="15">
        <f t="shared" si="1"/>
        <v>46412</v>
      </c>
      <c r="BD4" s="15">
        <f t="shared" si="1"/>
        <v>46419</v>
      </c>
      <c r="BE4" s="20">
        <f t="shared" si="1"/>
        <v>46426</v>
      </c>
      <c r="BF4" s="17">
        <f t="shared" si="1"/>
        <v>46433</v>
      </c>
      <c r="BG4" s="15">
        <f t="shared" si="1"/>
        <v>46440</v>
      </c>
      <c r="BH4" s="15">
        <f t="shared" si="1"/>
        <v>46447</v>
      </c>
      <c r="BI4" s="20">
        <f t="shared" si="1"/>
        <v>46454</v>
      </c>
      <c r="BJ4" s="21"/>
    </row>
    <row r="5" spans="1:62" ht="16" x14ac:dyDescent="0.2">
      <c r="A5" s="22" t="s">
        <v>16</v>
      </c>
      <c r="B5" s="23" t="s">
        <v>17</v>
      </c>
      <c r="C5" s="24">
        <f>C7/0.33</f>
        <v>2545.4545454545455</v>
      </c>
      <c r="D5" s="24">
        <v>3219</v>
      </c>
      <c r="E5" s="24">
        <v>2412</v>
      </c>
      <c r="F5" s="24">
        <v>1905</v>
      </c>
      <c r="G5" s="24">
        <v>2206</v>
      </c>
      <c r="H5" s="24">
        <v>1702</v>
      </c>
      <c r="I5" s="24">
        <v>1748</v>
      </c>
      <c r="J5" s="24">
        <v>1666</v>
      </c>
      <c r="K5" s="24">
        <v>1499</v>
      </c>
      <c r="L5" s="25">
        <v>1914</v>
      </c>
      <c r="M5" s="24">
        <v>1425</v>
      </c>
      <c r="N5" s="24">
        <v>1893</v>
      </c>
      <c r="O5" s="24">
        <v>1593</v>
      </c>
      <c r="P5" s="25">
        <f t="shared" ref="P5:BI5" si="2">P7/$A$8</f>
        <v>1633.3333333333333</v>
      </c>
      <c r="Q5" s="26">
        <f t="shared" si="2"/>
        <v>1698.6666666666665</v>
      </c>
      <c r="R5" s="26">
        <f t="shared" si="2"/>
        <v>1766.6133333333335</v>
      </c>
      <c r="S5" s="26">
        <f t="shared" si="2"/>
        <v>1837.2778666666666</v>
      </c>
      <c r="T5" s="26">
        <f t="shared" si="2"/>
        <v>1910.7689813333336</v>
      </c>
      <c r="U5" s="27">
        <f t="shared" si="2"/>
        <v>1987.1997405866671</v>
      </c>
      <c r="V5" s="26">
        <f t="shared" si="2"/>
        <v>2066.6877302101339</v>
      </c>
      <c r="W5" s="26">
        <f t="shared" si="2"/>
        <v>2149.355239418539</v>
      </c>
      <c r="X5" s="26">
        <f t="shared" si="2"/>
        <v>2235.3294489952805</v>
      </c>
      <c r="Y5" s="27">
        <f t="shared" si="2"/>
        <v>2324.742626955092</v>
      </c>
      <c r="Z5" s="26">
        <f t="shared" si="2"/>
        <v>2417.7323320332957</v>
      </c>
      <c r="AA5" s="26">
        <f t="shared" si="2"/>
        <v>2514.4416253146278</v>
      </c>
      <c r="AB5" s="26">
        <f t="shared" si="2"/>
        <v>2615.0192903272127</v>
      </c>
      <c r="AC5" s="27">
        <f t="shared" si="2"/>
        <v>2719.6200619403016</v>
      </c>
      <c r="AD5" s="28">
        <f t="shared" si="2"/>
        <v>3181.8181818181815</v>
      </c>
      <c r="AE5" s="26">
        <f t="shared" si="2"/>
        <v>3404.5454545454545</v>
      </c>
      <c r="AF5" s="26">
        <f t="shared" si="2"/>
        <v>3642.863636363636</v>
      </c>
      <c r="AG5" s="27">
        <f t="shared" si="2"/>
        <v>3897.8640909090914</v>
      </c>
      <c r="AH5" s="26">
        <f t="shared" si="2"/>
        <v>4170.7145772727281</v>
      </c>
      <c r="AI5" s="26">
        <f t="shared" si="2"/>
        <v>4462.664597681819</v>
      </c>
      <c r="AJ5" s="26">
        <f t="shared" si="2"/>
        <v>4775.0511195195468</v>
      </c>
      <c r="AK5" s="27">
        <f t="shared" si="2"/>
        <v>5109.3046978859156</v>
      </c>
      <c r="AL5" s="26">
        <f t="shared" si="2"/>
        <v>5466.9560267379302</v>
      </c>
      <c r="AM5" s="26">
        <f t="shared" si="2"/>
        <v>5849.6429486095858</v>
      </c>
      <c r="AN5" s="26">
        <f t="shared" si="2"/>
        <v>6259.117955012257</v>
      </c>
      <c r="AO5" s="27">
        <f t="shared" si="2"/>
        <v>6697.2562118631158</v>
      </c>
      <c r="AP5" s="28">
        <f t="shared" si="2"/>
        <v>7166.0641466935331</v>
      </c>
      <c r="AQ5" s="26">
        <f t="shared" si="2"/>
        <v>7667.6886369620806</v>
      </c>
      <c r="AR5" s="26">
        <f t="shared" si="2"/>
        <v>8204.4268415494262</v>
      </c>
      <c r="AS5" s="27">
        <f t="shared" si="2"/>
        <v>8778.7367204578859</v>
      </c>
      <c r="AT5" s="26">
        <f t="shared" si="2"/>
        <v>9393.2482908899383</v>
      </c>
      <c r="AU5" s="26">
        <f t="shared" si="2"/>
        <v>10050.775671252235</v>
      </c>
      <c r="AV5" s="26">
        <f t="shared" si="2"/>
        <v>10754.329968239892</v>
      </c>
      <c r="AW5" s="27">
        <f t="shared" si="2"/>
        <v>11507.133066016684</v>
      </c>
      <c r="AX5" s="26">
        <f t="shared" si="2"/>
        <v>12312.632380637853</v>
      </c>
      <c r="AY5" s="26">
        <f t="shared" si="2"/>
        <v>13174.516647282504</v>
      </c>
      <c r="AZ5" s="26">
        <f t="shared" si="2"/>
        <v>14096.73281259228</v>
      </c>
      <c r="BA5" s="27">
        <f t="shared" si="2"/>
        <v>15083.504109473739</v>
      </c>
      <c r="BB5" s="26">
        <f t="shared" si="2"/>
        <v>16139.349397136903</v>
      </c>
      <c r="BC5" s="26">
        <f t="shared" si="2"/>
        <v>17269.103854936489</v>
      </c>
      <c r="BD5" s="26">
        <f t="shared" si="2"/>
        <v>18477.941124782043</v>
      </c>
      <c r="BE5" s="27">
        <f t="shared" si="2"/>
        <v>19771.397003516788</v>
      </c>
      <c r="BF5" s="26">
        <f t="shared" si="2"/>
        <v>21155.39479376296</v>
      </c>
      <c r="BG5" s="26">
        <f t="shared" si="2"/>
        <v>22636.272429326371</v>
      </c>
      <c r="BH5" s="26">
        <f t="shared" si="2"/>
        <v>24220.811499379215</v>
      </c>
      <c r="BI5" s="27">
        <f t="shared" si="2"/>
        <v>25916.268304335761</v>
      </c>
      <c r="BJ5" s="26"/>
    </row>
    <row r="6" spans="1:62" x14ac:dyDescent="0.2">
      <c r="A6" s="29">
        <v>1.04</v>
      </c>
      <c r="B6" s="30" t="s">
        <v>18</v>
      </c>
      <c r="C6" s="31">
        <v>120</v>
      </c>
      <c r="D6" s="31">
        <v>120</v>
      </c>
      <c r="E6" s="31">
        <v>120</v>
      </c>
      <c r="F6" s="31">
        <v>120</v>
      </c>
      <c r="G6" s="31">
        <v>60</v>
      </c>
      <c r="H6" s="31">
        <f>66*1.2</f>
        <v>79.2</v>
      </c>
      <c r="I6" s="31">
        <v>79</v>
      </c>
      <c r="J6" s="31">
        <v>66</v>
      </c>
      <c r="K6" s="31">
        <f t="shared" ref="K6:O6" si="3">J6*$A$6</f>
        <v>68.64</v>
      </c>
      <c r="L6" s="32">
        <f t="shared" si="3"/>
        <v>71.385599999999997</v>
      </c>
      <c r="M6" s="31">
        <f t="shared" si="3"/>
        <v>74.241023999999996</v>
      </c>
      <c r="N6" s="31">
        <f t="shared" si="3"/>
        <v>77.210664960000003</v>
      </c>
      <c r="O6" s="31">
        <f t="shared" si="3"/>
        <v>80.299091558400008</v>
      </c>
      <c r="P6" s="32">
        <v>77</v>
      </c>
      <c r="Q6" s="33">
        <f t="shared" ref="Q6:AC6" si="4">P6*$A$6</f>
        <v>80.08</v>
      </c>
      <c r="R6" s="33">
        <f t="shared" si="4"/>
        <v>83.283200000000008</v>
      </c>
      <c r="S6" s="33">
        <f t="shared" si="4"/>
        <v>86.614528000000007</v>
      </c>
      <c r="T6" s="33">
        <f t="shared" si="4"/>
        <v>90.079109120000012</v>
      </c>
      <c r="U6" s="34">
        <f t="shared" si="4"/>
        <v>93.682273484800021</v>
      </c>
      <c r="V6" s="33">
        <f t="shared" si="4"/>
        <v>97.429564424192023</v>
      </c>
      <c r="W6" s="33">
        <f t="shared" si="4"/>
        <v>101.3267470011597</v>
      </c>
      <c r="X6" s="33">
        <f t="shared" si="4"/>
        <v>105.3798168812061</v>
      </c>
      <c r="Y6" s="34">
        <f t="shared" si="4"/>
        <v>109.59500955645434</v>
      </c>
      <c r="Z6" s="33">
        <f t="shared" si="4"/>
        <v>113.97880993871252</v>
      </c>
      <c r="AA6" s="33">
        <f t="shared" si="4"/>
        <v>118.53796233626102</v>
      </c>
      <c r="AB6" s="33">
        <f t="shared" si="4"/>
        <v>123.27948082971146</v>
      </c>
      <c r="AC6" s="34">
        <f t="shared" si="4"/>
        <v>128.21066006289993</v>
      </c>
      <c r="AD6" s="35">
        <v>150</v>
      </c>
      <c r="AE6" s="33">
        <f t="shared" ref="AE6:BI6" si="5">AD6*$A$11</f>
        <v>160.5</v>
      </c>
      <c r="AF6" s="33">
        <f t="shared" si="5"/>
        <v>171.73500000000001</v>
      </c>
      <c r="AG6" s="34">
        <f t="shared" si="5"/>
        <v>183.75645000000003</v>
      </c>
      <c r="AH6" s="33">
        <f t="shared" si="5"/>
        <v>196.61940150000004</v>
      </c>
      <c r="AI6" s="33">
        <f t="shared" si="5"/>
        <v>210.38275960500005</v>
      </c>
      <c r="AJ6" s="33">
        <f t="shared" si="5"/>
        <v>225.10955277735007</v>
      </c>
      <c r="AK6" s="34">
        <f t="shared" si="5"/>
        <v>240.86722147176459</v>
      </c>
      <c r="AL6" s="33">
        <f t="shared" si="5"/>
        <v>257.72792697478815</v>
      </c>
      <c r="AM6" s="33">
        <f t="shared" si="5"/>
        <v>275.76888186302335</v>
      </c>
      <c r="AN6" s="33">
        <f t="shared" si="5"/>
        <v>295.07270359343499</v>
      </c>
      <c r="AO6" s="34">
        <f t="shared" si="5"/>
        <v>315.72779284497545</v>
      </c>
      <c r="AP6" s="35">
        <f t="shared" si="5"/>
        <v>337.82873834412374</v>
      </c>
      <c r="AQ6" s="33">
        <f t="shared" si="5"/>
        <v>361.47675002821239</v>
      </c>
      <c r="AR6" s="33">
        <f t="shared" si="5"/>
        <v>386.78012253018727</v>
      </c>
      <c r="AS6" s="34">
        <f t="shared" si="5"/>
        <v>413.85473110730038</v>
      </c>
      <c r="AT6" s="33">
        <f t="shared" si="5"/>
        <v>442.82456228481141</v>
      </c>
      <c r="AU6" s="33">
        <f t="shared" si="5"/>
        <v>473.82228164474822</v>
      </c>
      <c r="AV6" s="33">
        <f t="shared" si="5"/>
        <v>506.98984135988064</v>
      </c>
      <c r="AW6" s="34">
        <f t="shared" si="5"/>
        <v>542.47913025507228</v>
      </c>
      <c r="AX6" s="33">
        <f t="shared" si="5"/>
        <v>580.4526693729274</v>
      </c>
      <c r="AY6" s="33">
        <f t="shared" si="5"/>
        <v>621.08435622903232</v>
      </c>
      <c r="AZ6" s="33">
        <f t="shared" si="5"/>
        <v>664.56026116506462</v>
      </c>
      <c r="BA6" s="34">
        <f t="shared" si="5"/>
        <v>711.07947944661919</v>
      </c>
      <c r="BB6" s="33">
        <f t="shared" si="5"/>
        <v>760.85504300788261</v>
      </c>
      <c r="BC6" s="33">
        <f t="shared" si="5"/>
        <v>814.11489601843448</v>
      </c>
      <c r="BD6" s="33">
        <f t="shared" si="5"/>
        <v>871.10293873972489</v>
      </c>
      <c r="BE6" s="34">
        <f t="shared" si="5"/>
        <v>932.0801444515057</v>
      </c>
      <c r="BF6" s="33">
        <f t="shared" si="5"/>
        <v>997.3257545631111</v>
      </c>
      <c r="BG6" s="33">
        <f t="shared" si="5"/>
        <v>1067.1385573825289</v>
      </c>
      <c r="BH6" s="33">
        <f t="shared" si="5"/>
        <v>1141.8382563993059</v>
      </c>
      <c r="BI6" s="34">
        <f t="shared" si="5"/>
        <v>1221.7669343472573</v>
      </c>
      <c r="BJ6" s="33"/>
    </row>
    <row r="7" spans="1:62" ht="16" x14ac:dyDescent="0.2">
      <c r="A7" s="22" t="s">
        <v>19</v>
      </c>
      <c r="B7" s="23" t="s">
        <v>20</v>
      </c>
      <c r="C7" s="24">
        <f>C6*7</f>
        <v>840</v>
      </c>
      <c r="D7" s="24">
        <v>820</v>
      </c>
      <c r="E7" s="24">
        <f t="shared" ref="E7:G7" si="6">E6*7</f>
        <v>840</v>
      </c>
      <c r="F7" s="24">
        <f t="shared" si="6"/>
        <v>840</v>
      </c>
      <c r="G7" s="24">
        <f t="shared" si="6"/>
        <v>420</v>
      </c>
      <c r="H7" s="24">
        <v>659</v>
      </c>
      <c r="I7" s="24">
        <v>575</v>
      </c>
      <c r="J7" s="24">
        <v>460</v>
      </c>
      <c r="K7" s="24">
        <f>K6*7</f>
        <v>480.48</v>
      </c>
      <c r="L7" s="25">
        <v>514</v>
      </c>
      <c r="M7" s="24">
        <v>532</v>
      </c>
      <c r="N7" s="24">
        <v>550</v>
      </c>
      <c r="O7" s="24">
        <v>580</v>
      </c>
      <c r="P7" s="25">
        <f t="shared" ref="P7:BI7" si="7">P6*7</f>
        <v>539</v>
      </c>
      <c r="Q7" s="26">
        <f t="shared" si="7"/>
        <v>560.55999999999995</v>
      </c>
      <c r="R7" s="26">
        <f t="shared" si="7"/>
        <v>582.9824000000001</v>
      </c>
      <c r="S7" s="26">
        <f t="shared" si="7"/>
        <v>606.30169599999999</v>
      </c>
      <c r="T7" s="26">
        <f t="shared" si="7"/>
        <v>630.5537638400001</v>
      </c>
      <c r="U7" s="27">
        <f t="shared" si="7"/>
        <v>655.77591439360015</v>
      </c>
      <c r="V7" s="26">
        <f t="shared" si="7"/>
        <v>682.00695096934419</v>
      </c>
      <c r="W7" s="26">
        <f t="shared" si="7"/>
        <v>709.28722900811795</v>
      </c>
      <c r="X7" s="26">
        <f t="shared" si="7"/>
        <v>737.65871816844265</v>
      </c>
      <c r="Y7" s="27">
        <f t="shared" si="7"/>
        <v>767.16506689518042</v>
      </c>
      <c r="Z7" s="26">
        <f t="shared" si="7"/>
        <v>797.85166957098761</v>
      </c>
      <c r="AA7" s="26">
        <f t="shared" si="7"/>
        <v>829.76573635382715</v>
      </c>
      <c r="AB7" s="26">
        <f t="shared" si="7"/>
        <v>862.95636580798021</v>
      </c>
      <c r="AC7" s="27">
        <f t="shared" si="7"/>
        <v>897.47462044029953</v>
      </c>
      <c r="AD7" s="28">
        <f t="shared" si="7"/>
        <v>1050</v>
      </c>
      <c r="AE7" s="26">
        <f t="shared" si="7"/>
        <v>1123.5</v>
      </c>
      <c r="AF7" s="26">
        <f t="shared" si="7"/>
        <v>1202.145</v>
      </c>
      <c r="AG7" s="27">
        <f t="shared" si="7"/>
        <v>1286.2951500000001</v>
      </c>
      <c r="AH7" s="26">
        <f t="shared" si="7"/>
        <v>1376.3358105000002</v>
      </c>
      <c r="AI7" s="26">
        <f t="shared" si="7"/>
        <v>1472.6793172350003</v>
      </c>
      <c r="AJ7" s="26">
        <f t="shared" si="7"/>
        <v>1575.7668694414506</v>
      </c>
      <c r="AK7" s="27">
        <f t="shared" si="7"/>
        <v>1686.0705503023521</v>
      </c>
      <c r="AL7" s="26">
        <f t="shared" si="7"/>
        <v>1804.0954888235169</v>
      </c>
      <c r="AM7" s="26">
        <f t="shared" si="7"/>
        <v>1930.3821730411635</v>
      </c>
      <c r="AN7" s="26">
        <f t="shared" si="7"/>
        <v>2065.5089251540448</v>
      </c>
      <c r="AO7" s="27">
        <f t="shared" si="7"/>
        <v>2210.0945499148283</v>
      </c>
      <c r="AP7" s="28">
        <f t="shared" si="7"/>
        <v>2364.801168408866</v>
      </c>
      <c r="AQ7" s="26">
        <f t="shared" si="7"/>
        <v>2530.3372501974868</v>
      </c>
      <c r="AR7" s="26">
        <f t="shared" si="7"/>
        <v>2707.4608577113108</v>
      </c>
      <c r="AS7" s="27">
        <f t="shared" si="7"/>
        <v>2896.9831177511028</v>
      </c>
      <c r="AT7" s="26">
        <f t="shared" si="7"/>
        <v>3099.77193599368</v>
      </c>
      <c r="AU7" s="26">
        <f t="shared" si="7"/>
        <v>3316.7559715132375</v>
      </c>
      <c r="AV7" s="26">
        <f t="shared" si="7"/>
        <v>3548.9288895191644</v>
      </c>
      <c r="AW7" s="27">
        <f t="shared" si="7"/>
        <v>3797.3539117855062</v>
      </c>
      <c r="AX7" s="26">
        <f t="shared" si="7"/>
        <v>4063.1686856104916</v>
      </c>
      <c r="AY7" s="26">
        <f t="shared" si="7"/>
        <v>4347.5904936032266</v>
      </c>
      <c r="AZ7" s="26">
        <f t="shared" si="7"/>
        <v>4651.9218281554522</v>
      </c>
      <c r="BA7" s="27">
        <f t="shared" si="7"/>
        <v>4977.5563561263343</v>
      </c>
      <c r="BB7" s="26">
        <f t="shared" si="7"/>
        <v>5325.9853010551778</v>
      </c>
      <c r="BC7" s="26">
        <f t="shared" si="7"/>
        <v>5698.8042721290412</v>
      </c>
      <c r="BD7" s="26">
        <f t="shared" si="7"/>
        <v>6097.7205711780744</v>
      </c>
      <c r="BE7" s="27">
        <f t="shared" si="7"/>
        <v>6524.5610111605401</v>
      </c>
      <c r="BF7" s="26">
        <f t="shared" si="7"/>
        <v>6981.2802819417775</v>
      </c>
      <c r="BG7" s="26">
        <f t="shared" si="7"/>
        <v>7469.9699016777022</v>
      </c>
      <c r="BH7" s="26">
        <f t="shared" si="7"/>
        <v>7992.8677947951419</v>
      </c>
      <c r="BI7" s="27">
        <f t="shared" si="7"/>
        <v>8552.3685404308017</v>
      </c>
      <c r="BJ7" s="26"/>
    </row>
    <row r="8" spans="1:62" ht="16" x14ac:dyDescent="0.2">
      <c r="A8" s="29">
        <v>0.33</v>
      </c>
      <c r="B8" s="23" t="s">
        <v>21</v>
      </c>
      <c r="C8" s="36">
        <v>0.27</v>
      </c>
      <c r="D8" s="36">
        <v>0.27</v>
      </c>
      <c r="E8" s="36">
        <v>0.27</v>
      </c>
      <c r="F8" s="36">
        <v>0.27</v>
      </c>
      <c r="G8" s="36">
        <v>0.27</v>
      </c>
      <c r="H8" s="36">
        <v>0.27</v>
      </c>
      <c r="I8" s="36">
        <v>0.27</v>
      </c>
      <c r="J8" s="36">
        <v>0.27</v>
      </c>
      <c r="K8" s="36">
        <v>0.27</v>
      </c>
      <c r="L8" s="37">
        <v>0.28249999999999997</v>
      </c>
      <c r="M8" s="36">
        <v>0.27</v>
      </c>
      <c r="N8" s="36">
        <v>0.27</v>
      </c>
      <c r="O8" s="36">
        <v>0.27</v>
      </c>
      <c r="P8" s="37">
        <v>0.27</v>
      </c>
      <c r="Q8" s="38">
        <v>0.27</v>
      </c>
      <c r="R8" s="38">
        <v>0.27</v>
      </c>
      <c r="S8" s="38">
        <v>0.27</v>
      </c>
      <c r="T8" s="38">
        <v>0.27</v>
      </c>
      <c r="U8" s="39">
        <v>0.27</v>
      </c>
      <c r="V8" s="38">
        <v>0.27</v>
      </c>
      <c r="W8" s="38">
        <v>0.27</v>
      </c>
      <c r="X8" s="38">
        <v>0.27</v>
      </c>
      <c r="Y8" s="39">
        <v>0.27</v>
      </c>
      <c r="Z8" s="38">
        <v>0.27</v>
      </c>
      <c r="AA8" s="38">
        <v>0.27</v>
      </c>
      <c r="AB8" s="38">
        <v>0.27</v>
      </c>
      <c r="AC8" s="39">
        <v>0.27</v>
      </c>
      <c r="AD8" s="40">
        <v>0.27</v>
      </c>
      <c r="AE8" s="38">
        <v>0.27</v>
      </c>
      <c r="AF8" s="38">
        <v>0.27</v>
      </c>
      <c r="AG8" s="39">
        <v>0.27</v>
      </c>
      <c r="AH8" s="38">
        <v>0.27</v>
      </c>
      <c r="AI8" s="38">
        <v>0.27</v>
      </c>
      <c r="AJ8" s="38">
        <v>0.27</v>
      </c>
      <c r="AK8" s="39">
        <v>0.27</v>
      </c>
      <c r="AL8" s="38">
        <v>0.27</v>
      </c>
      <c r="AM8" s="38">
        <v>0.27</v>
      </c>
      <c r="AN8" s="38">
        <v>0.27</v>
      </c>
      <c r="AO8" s="39">
        <v>0.27</v>
      </c>
      <c r="AP8" s="40">
        <v>0.27</v>
      </c>
      <c r="AQ8" s="38">
        <v>0.27</v>
      </c>
      <c r="AR8" s="38">
        <v>0.27</v>
      </c>
      <c r="AS8" s="39">
        <v>0.27</v>
      </c>
      <c r="AT8" s="38">
        <v>0.27</v>
      </c>
      <c r="AU8" s="38">
        <v>0.27</v>
      </c>
      <c r="AV8" s="38">
        <v>0.27</v>
      </c>
      <c r="AW8" s="39">
        <v>0.27</v>
      </c>
      <c r="AX8" s="38">
        <v>0.27</v>
      </c>
      <c r="AY8" s="38">
        <v>0.27</v>
      </c>
      <c r="AZ8" s="38">
        <v>0.27</v>
      </c>
      <c r="BA8" s="39">
        <v>0.27</v>
      </c>
      <c r="BB8" s="38">
        <v>0.27</v>
      </c>
      <c r="BC8" s="38">
        <v>0.27</v>
      </c>
      <c r="BD8" s="38">
        <v>0.27</v>
      </c>
      <c r="BE8" s="39">
        <v>0.27</v>
      </c>
      <c r="BF8" s="38">
        <v>0.27</v>
      </c>
      <c r="BG8" s="38">
        <v>0.27</v>
      </c>
      <c r="BH8" s="38">
        <v>0.27</v>
      </c>
      <c r="BI8" s="39">
        <v>0.27</v>
      </c>
      <c r="BJ8" s="38"/>
    </row>
    <row r="9" spans="1:62" ht="16" x14ac:dyDescent="0.2">
      <c r="A9" s="41"/>
      <c r="B9" s="42" t="s">
        <v>22</v>
      </c>
      <c r="C9" s="15">
        <f t="shared" ref="C9:BI9" si="8">C4</f>
        <v>46048</v>
      </c>
      <c r="D9" s="18">
        <f t="shared" si="8"/>
        <v>46055</v>
      </c>
      <c r="E9" s="17">
        <f t="shared" si="8"/>
        <v>46062</v>
      </c>
      <c r="F9" s="15">
        <f t="shared" si="8"/>
        <v>46069</v>
      </c>
      <c r="G9" s="15">
        <f t="shared" si="8"/>
        <v>46076</v>
      </c>
      <c r="H9" s="18">
        <f t="shared" si="8"/>
        <v>46083</v>
      </c>
      <c r="I9" s="17">
        <f t="shared" si="8"/>
        <v>46090</v>
      </c>
      <c r="J9" s="15">
        <f t="shared" si="8"/>
        <v>46097</v>
      </c>
      <c r="K9" s="15">
        <f t="shared" si="8"/>
        <v>46104</v>
      </c>
      <c r="L9" s="20">
        <f t="shared" si="8"/>
        <v>46111</v>
      </c>
      <c r="M9" s="17">
        <f t="shared" si="8"/>
        <v>46118</v>
      </c>
      <c r="N9" s="15">
        <f t="shared" si="8"/>
        <v>46125</v>
      </c>
      <c r="O9" s="15">
        <f t="shared" si="8"/>
        <v>46132</v>
      </c>
      <c r="P9" s="20">
        <f t="shared" si="8"/>
        <v>46139</v>
      </c>
      <c r="Q9" s="17">
        <f t="shared" si="8"/>
        <v>46146</v>
      </c>
      <c r="R9" s="15">
        <f t="shared" si="8"/>
        <v>46153</v>
      </c>
      <c r="S9" s="15">
        <f t="shared" si="8"/>
        <v>46160</v>
      </c>
      <c r="T9" s="15">
        <f t="shared" si="8"/>
        <v>46167</v>
      </c>
      <c r="U9" s="20">
        <f t="shared" si="8"/>
        <v>46174</v>
      </c>
      <c r="V9" s="17">
        <f t="shared" si="8"/>
        <v>46181</v>
      </c>
      <c r="W9" s="15">
        <f t="shared" si="8"/>
        <v>46188</v>
      </c>
      <c r="X9" s="15">
        <f t="shared" si="8"/>
        <v>46195</v>
      </c>
      <c r="Y9" s="20">
        <f t="shared" si="8"/>
        <v>46202</v>
      </c>
      <c r="Z9" s="17">
        <f t="shared" si="8"/>
        <v>46209</v>
      </c>
      <c r="AA9" s="15">
        <f t="shared" si="8"/>
        <v>46216</v>
      </c>
      <c r="AB9" s="15">
        <f t="shared" si="8"/>
        <v>46223</v>
      </c>
      <c r="AC9" s="20">
        <f t="shared" si="8"/>
        <v>46230</v>
      </c>
      <c r="AD9" s="17">
        <f t="shared" si="8"/>
        <v>46237</v>
      </c>
      <c r="AE9" s="15">
        <f t="shared" si="8"/>
        <v>46244</v>
      </c>
      <c r="AF9" s="15">
        <f t="shared" si="8"/>
        <v>46251</v>
      </c>
      <c r="AG9" s="20">
        <f t="shared" si="8"/>
        <v>46258</v>
      </c>
      <c r="AH9" s="17">
        <f t="shared" si="8"/>
        <v>46265</v>
      </c>
      <c r="AI9" s="15">
        <f t="shared" si="8"/>
        <v>46272</v>
      </c>
      <c r="AJ9" s="15">
        <f t="shared" si="8"/>
        <v>46279</v>
      </c>
      <c r="AK9" s="20">
        <f t="shared" si="8"/>
        <v>46286</v>
      </c>
      <c r="AL9" s="17">
        <f t="shared" si="8"/>
        <v>46293</v>
      </c>
      <c r="AM9" s="15">
        <f t="shared" si="8"/>
        <v>46300</v>
      </c>
      <c r="AN9" s="15">
        <f t="shared" si="8"/>
        <v>46307</v>
      </c>
      <c r="AO9" s="20">
        <f t="shared" si="8"/>
        <v>46314</v>
      </c>
      <c r="AP9" s="17">
        <f t="shared" si="8"/>
        <v>46321</v>
      </c>
      <c r="AQ9" s="15">
        <f t="shared" si="8"/>
        <v>46328</v>
      </c>
      <c r="AR9" s="15">
        <f t="shared" si="8"/>
        <v>46335</v>
      </c>
      <c r="AS9" s="20">
        <f t="shared" si="8"/>
        <v>46342</v>
      </c>
      <c r="AT9" s="17">
        <f t="shared" si="8"/>
        <v>46349</v>
      </c>
      <c r="AU9" s="15">
        <f t="shared" si="8"/>
        <v>46356</v>
      </c>
      <c r="AV9" s="15">
        <f t="shared" si="8"/>
        <v>46363</v>
      </c>
      <c r="AW9" s="20">
        <f t="shared" si="8"/>
        <v>46370</v>
      </c>
      <c r="AX9" s="17">
        <f t="shared" si="8"/>
        <v>46377</v>
      </c>
      <c r="AY9" s="15">
        <f t="shared" si="8"/>
        <v>46384</v>
      </c>
      <c r="AZ9" s="15">
        <f t="shared" si="8"/>
        <v>46391</v>
      </c>
      <c r="BA9" s="20">
        <f t="shared" si="8"/>
        <v>46398</v>
      </c>
      <c r="BB9" s="17">
        <f t="shared" si="8"/>
        <v>46405</v>
      </c>
      <c r="BC9" s="15">
        <f t="shared" si="8"/>
        <v>46412</v>
      </c>
      <c r="BD9" s="15">
        <f t="shared" si="8"/>
        <v>46419</v>
      </c>
      <c r="BE9" s="20">
        <f t="shared" si="8"/>
        <v>46426</v>
      </c>
      <c r="BF9" s="17">
        <f t="shared" si="8"/>
        <v>46433</v>
      </c>
      <c r="BG9" s="15">
        <f t="shared" si="8"/>
        <v>46440</v>
      </c>
      <c r="BH9" s="15">
        <f t="shared" si="8"/>
        <v>46447</v>
      </c>
      <c r="BI9" s="20">
        <f t="shared" si="8"/>
        <v>46454</v>
      </c>
      <c r="BJ9" s="21"/>
    </row>
    <row r="10" spans="1:62" ht="16" x14ac:dyDescent="0.2">
      <c r="A10" s="43" t="s">
        <v>23</v>
      </c>
      <c r="B10" s="44"/>
      <c r="C10" s="45"/>
      <c r="D10" s="46"/>
      <c r="E10" s="46"/>
      <c r="F10" s="46"/>
      <c r="G10" s="46"/>
      <c r="H10" s="46"/>
      <c r="I10" s="46"/>
      <c r="J10" s="46"/>
      <c r="K10" s="46"/>
      <c r="L10" s="47"/>
      <c r="M10" s="46"/>
      <c r="N10" s="46"/>
      <c r="O10" s="46"/>
      <c r="P10" s="47"/>
      <c r="Q10" s="48" t="s">
        <v>24</v>
      </c>
      <c r="R10" s="48"/>
      <c r="S10" s="48"/>
      <c r="T10" s="49"/>
      <c r="U10" s="50"/>
      <c r="V10" s="49"/>
      <c r="W10" s="49"/>
      <c r="X10" s="49"/>
      <c r="Y10" s="50"/>
      <c r="Z10" s="49"/>
      <c r="AA10" s="49"/>
      <c r="AB10" s="49"/>
      <c r="AC10" s="50"/>
      <c r="AD10" s="51"/>
      <c r="AE10" s="49"/>
      <c r="AF10" s="49"/>
      <c r="AG10" s="50"/>
      <c r="AH10" s="49"/>
      <c r="AI10" s="49"/>
      <c r="AJ10" s="49"/>
      <c r="AK10" s="50"/>
      <c r="AL10" s="49"/>
      <c r="AM10" s="49"/>
      <c r="AN10" s="49"/>
      <c r="AO10" s="50"/>
      <c r="AP10" s="51"/>
      <c r="AQ10" s="49"/>
      <c r="AR10" s="49"/>
      <c r="AS10" s="50"/>
      <c r="AT10" s="49"/>
      <c r="AU10" s="49"/>
      <c r="AV10" s="49"/>
      <c r="AW10" s="50"/>
      <c r="AX10" s="49"/>
      <c r="AY10" s="49"/>
      <c r="AZ10" s="49"/>
      <c r="BA10" s="50"/>
      <c r="BB10" s="49"/>
      <c r="BC10" s="49"/>
      <c r="BD10" s="49"/>
      <c r="BE10" s="50"/>
      <c r="BF10" s="49"/>
      <c r="BG10" s="49"/>
      <c r="BH10" s="49"/>
      <c r="BI10" s="50"/>
      <c r="BJ10" s="49"/>
    </row>
    <row r="11" spans="1:62" ht="16" x14ac:dyDescent="0.2">
      <c r="A11" s="52">
        <v>1.07</v>
      </c>
      <c r="B11" s="49" t="s">
        <v>25</v>
      </c>
      <c r="C11" s="53">
        <v>120</v>
      </c>
      <c r="D11" s="53">
        <v>150</v>
      </c>
      <c r="E11" s="53">
        <v>240</v>
      </c>
      <c r="F11" s="53">
        <v>43</v>
      </c>
      <c r="G11" s="53">
        <v>286.26</v>
      </c>
      <c r="H11" s="53">
        <v>198</v>
      </c>
      <c r="I11" s="53">
        <f>200</f>
        <v>200</v>
      </c>
      <c r="J11" s="53">
        <f>500+900</f>
        <v>1400</v>
      </c>
      <c r="K11" s="53">
        <v>250</v>
      </c>
      <c r="L11" s="54">
        <v>262</v>
      </c>
      <c r="M11" s="55">
        <f>1000-100</f>
        <v>900</v>
      </c>
      <c r="N11" s="55">
        <f>448-148</f>
        <v>300</v>
      </c>
      <c r="O11" s="53">
        <f>150+634+1371</f>
        <v>2155</v>
      </c>
      <c r="P11" s="54">
        <f>109+533</f>
        <v>642</v>
      </c>
      <c r="Q11" s="56">
        <v>906</v>
      </c>
      <c r="R11" s="56"/>
      <c r="S11" s="57"/>
      <c r="T11" s="57"/>
      <c r="U11" s="58"/>
      <c r="V11" s="57"/>
      <c r="W11" s="57"/>
      <c r="X11" s="57"/>
      <c r="Y11" s="58"/>
      <c r="Z11" s="57"/>
      <c r="AA11" s="57"/>
      <c r="AB11" s="57"/>
      <c r="AC11" s="58"/>
      <c r="AD11" s="59"/>
      <c r="AE11" s="57"/>
      <c r="AF11" s="57"/>
      <c r="AG11" s="58"/>
      <c r="AH11" s="57"/>
      <c r="AI11" s="57"/>
      <c r="AJ11" s="57"/>
      <c r="AK11" s="58"/>
      <c r="AL11" s="57"/>
      <c r="AM11" s="57"/>
      <c r="AN11" s="57"/>
      <c r="AO11" s="58"/>
      <c r="AP11" s="59"/>
      <c r="AQ11" s="57"/>
      <c r="AR11" s="57"/>
      <c r="AS11" s="58"/>
      <c r="AT11" s="57"/>
      <c r="AU11" s="57"/>
      <c r="AV11" s="57"/>
      <c r="AW11" s="58"/>
      <c r="AX11" s="57"/>
      <c r="AY11" s="57"/>
      <c r="AZ11" s="57"/>
      <c r="BA11" s="58"/>
      <c r="BB11" s="57"/>
      <c r="BC11" s="57"/>
      <c r="BD11" s="57"/>
      <c r="BE11" s="58"/>
      <c r="BF11" s="57"/>
      <c r="BG11" s="57"/>
      <c r="BH11" s="57"/>
      <c r="BI11" s="58"/>
      <c r="BJ11" s="57"/>
    </row>
    <row r="12" spans="1:62" ht="16" x14ac:dyDescent="0.2">
      <c r="A12" s="60" t="s">
        <v>26</v>
      </c>
      <c r="B12" s="49" t="s">
        <v>27</v>
      </c>
      <c r="C12" s="61">
        <f>2821-200+101</f>
        <v>2722</v>
      </c>
      <c r="D12" s="61">
        <v>4925</v>
      </c>
      <c r="E12" s="61">
        <f>5714-2441</f>
        <v>3273</v>
      </c>
      <c r="F12" s="61">
        <v>1997.4</v>
      </c>
      <c r="G12" s="61">
        <v>1805</v>
      </c>
      <c r="H12" s="61">
        <f>6667-H23</f>
        <v>2370</v>
      </c>
      <c r="I12" s="61">
        <f>7872</f>
        <v>7872</v>
      </c>
      <c r="J12" s="61">
        <v>7963</v>
      </c>
      <c r="K12" s="61">
        <v>10565</v>
      </c>
      <c r="L12" s="62">
        <f>11735-25.58</f>
        <v>11709.42</v>
      </c>
      <c r="M12" s="61">
        <v>12273</v>
      </c>
      <c r="N12" s="61">
        <v>9977</v>
      </c>
      <c r="O12" s="61">
        <v>9062</v>
      </c>
      <c r="P12" s="62">
        <v>9728</v>
      </c>
      <c r="Q12" s="63">
        <f t="shared" ref="Q12:BI12" si="9">P21+P65-P43</f>
        <v>11588.279999999999</v>
      </c>
      <c r="R12" s="63">
        <f t="shared" si="9"/>
        <v>7352.0266666666657</v>
      </c>
      <c r="S12" s="63">
        <f t="shared" si="9"/>
        <v>8821.9586666666655</v>
      </c>
      <c r="T12" s="63">
        <f t="shared" si="9"/>
        <v>10475.508746666665</v>
      </c>
      <c r="U12" s="64">
        <f t="shared" si="9"/>
        <v>11960.050829866665</v>
      </c>
      <c r="V12" s="63">
        <f t="shared" si="9"/>
        <v>10997.412736554665</v>
      </c>
      <c r="W12" s="63">
        <f t="shared" si="9"/>
        <v>10753.159034885119</v>
      </c>
      <c r="X12" s="63">
        <f t="shared" si="9"/>
        <v>12567.558750361804</v>
      </c>
      <c r="Y12" s="64">
        <f t="shared" si="9"/>
        <v>14344.205254457556</v>
      </c>
      <c r="Z12" s="63">
        <f t="shared" si="9"/>
        <v>10569.503537287859</v>
      </c>
      <c r="AA12" s="63">
        <f t="shared" si="9"/>
        <v>11181.10539425543</v>
      </c>
      <c r="AB12" s="63">
        <f t="shared" si="9"/>
        <v>13324.082857038595</v>
      </c>
      <c r="AC12" s="64">
        <f t="shared" si="9"/>
        <v>15442.450218333086</v>
      </c>
      <c r="AD12" s="65">
        <f t="shared" si="9"/>
        <v>14261.649435451382</v>
      </c>
      <c r="AE12" s="63">
        <f t="shared" si="9"/>
        <v>15069.372211624723</v>
      </c>
      <c r="AF12" s="63">
        <f t="shared" si="9"/>
        <v>18013.44312071563</v>
      </c>
      <c r="AG12" s="64">
        <f t="shared" si="9"/>
        <v>21292.020393442901</v>
      </c>
      <c r="AH12" s="63">
        <f t="shared" si="9"/>
        <v>20351.978454820783</v>
      </c>
      <c r="AI12" s="63">
        <f t="shared" si="9"/>
        <v>22967.541574366238</v>
      </c>
      <c r="AJ12" s="63">
        <f t="shared" si="9"/>
        <v>24376.768569722208</v>
      </c>
      <c r="AK12" s="64">
        <f t="shared" si="9"/>
        <v>28499.314577289799</v>
      </c>
      <c r="AL12" s="63">
        <f t="shared" si="9"/>
        <v>27211.611658210673</v>
      </c>
      <c r="AM12" s="63">
        <f t="shared" si="9"/>
        <v>30993.792082274809</v>
      </c>
      <c r="AN12" s="63">
        <f t="shared" si="9"/>
        <v>33633.697236787433</v>
      </c>
      <c r="AO12" s="64">
        <f t="shared" si="9"/>
        <v>39091.903396298461</v>
      </c>
      <c r="AP12" s="65">
        <f t="shared" si="9"/>
        <v>37458.376849654189</v>
      </c>
      <c r="AQ12" s="63">
        <f t="shared" si="9"/>
        <v>43247.834581678369</v>
      </c>
      <c r="AR12" s="63">
        <f t="shared" si="9"/>
        <v>46470.377040721956</v>
      </c>
      <c r="AS12" s="64">
        <f t="shared" si="9"/>
        <v>53679.361198116443</v>
      </c>
      <c r="AT12" s="63">
        <f t="shared" si="9"/>
        <v>51592.530420296047</v>
      </c>
      <c r="AU12" s="63">
        <f t="shared" si="9"/>
        <v>59386.45388209699</v>
      </c>
      <c r="AV12" s="63">
        <f t="shared" si="9"/>
        <v>68257.151986224009</v>
      </c>
      <c r="AW12" s="64">
        <f t="shared" si="9"/>
        <v>77761.048957639912</v>
      </c>
      <c r="AX12" s="63">
        <f t="shared" si="9"/>
        <v>75080.028802277739</v>
      </c>
      <c r="AY12" s="63">
        <f t="shared" si="9"/>
        <v>85501.397944851808</v>
      </c>
      <c r="AZ12" s="63">
        <f t="shared" si="9"/>
        <v>97183.462927406057</v>
      </c>
      <c r="BA12" s="64">
        <f t="shared" si="9"/>
        <v>109695.52245873911</v>
      </c>
      <c r="BB12" s="63">
        <f t="shared" si="9"/>
        <v>106235.64123811079</v>
      </c>
      <c r="BC12" s="63">
        <f t="shared" si="9"/>
        <v>120406.05569553401</v>
      </c>
      <c r="BD12" s="63">
        <f t="shared" si="9"/>
        <v>135773.24916497685</v>
      </c>
      <c r="BE12" s="64">
        <f t="shared" si="9"/>
        <v>152228.39617728069</v>
      </c>
      <c r="BF12" s="63">
        <f t="shared" si="9"/>
        <v>147747.58697995718</v>
      </c>
      <c r="BG12" s="63">
        <f t="shared" si="9"/>
        <v>166432.44229434384</v>
      </c>
      <c r="BH12" s="63">
        <f t="shared" si="9"/>
        <v>186630.08748073757</v>
      </c>
      <c r="BI12" s="64">
        <f t="shared" si="9"/>
        <v>208253.81783017886</v>
      </c>
      <c r="BJ12" s="63"/>
    </row>
    <row r="13" spans="1:62" ht="16" x14ac:dyDescent="0.2">
      <c r="A13" s="66">
        <v>0.09</v>
      </c>
      <c r="B13" s="49" t="s">
        <v>28</v>
      </c>
      <c r="C13" s="53">
        <v>-101.21</v>
      </c>
      <c r="D13" s="53">
        <v>-150</v>
      </c>
      <c r="E13" s="53">
        <v>-244</v>
      </c>
      <c r="F13" s="53">
        <v>-274</v>
      </c>
      <c r="G13" s="53">
        <v>-298</v>
      </c>
      <c r="H13" s="53">
        <v>-306</v>
      </c>
      <c r="I13" s="53">
        <v>-358</v>
      </c>
      <c r="J13" s="53">
        <v>-375</v>
      </c>
      <c r="K13" s="53">
        <v>-422</v>
      </c>
      <c r="L13" s="54">
        <v>-437</v>
      </c>
      <c r="M13" s="53">
        <v>-476</v>
      </c>
      <c r="N13" s="53">
        <v>-523</v>
      </c>
      <c r="O13" s="53"/>
      <c r="P13" s="54"/>
      <c r="Q13" s="57"/>
      <c r="R13" s="57"/>
      <c r="S13" s="57"/>
      <c r="T13" s="57"/>
      <c r="U13" s="58"/>
      <c r="V13" s="57"/>
      <c r="W13" s="57"/>
      <c r="X13" s="57"/>
      <c r="Y13" s="58"/>
      <c r="Z13" s="57"/>
      <c r="AA13" s="57"/>
      <c r="AB13" s="57"/>
      <c r="AC13" s="58"/>
      <c r="AD13" s="59"/>
      <c r="AE13" s="57"/>
      <c r="AF13" s="57"/>
      <c r="AG13" s="58"/>
      <c r="AH13" s="57"/>
      <c r="AI13" s="57"/>
      <c r="AJ13" s="57"/>
      <c r="AK13" s="58"/>
      <c r="AL13" s="57"/>
      <c r="AM13" s="57"/>
      <c r="AN13" s="57"/>
      <c r="AO13" s="58"/>
      <c r="AP13" s="59"/>
      <c r="AQ13" s="57"/>
      <c r="AR13" s="57"/>
      <c r="AS13" s="58"/>
      <c r="AT13" s="57"/>
      <c r="AU13" s="57"/>
      <c r="AV13" s="57"/>
      <c r="AW13" s="58"/>
      <c r="AX13" s="57"/>
      <c r="AY13" s="57"/>
      <c r="AZ13" s="57"/>
      <c r="BA13" s="58"/>
      <c r="BB13" s="57"/>
      <c r="BC13" s="57"/>
      <c r="BD13" s="57"/>
      <c r="BE13" s="58"/>
      <c r="BF13" s="57"/>
      <c r="BG13" s="57"/>
      <c r="BH13" s="57"/>
      <c r="BI13" s="58"/>
      <c r="BJ13" s="57"/>
    </row>
    <row r="14" spans="1:62" ht="16" x14ac:dyDescent="0.2">
      <c r="A14" s="67"/>
      <c r="B14" s="49" t="s">
        <v>29</v>
      </c>
      <c r="C14" s="53"/>
      <c r="D14" s="53"/>
      <c r="E14" s="53"/>
      <c r="F14" s="53">
        <v>0</v>
      </c>
      <c r="G14" s="53">
        <v>0</v>
      </c>
      <c r="H14" s="53">
        <v>-37</v>
      </c>
      <c r="I14" s="53">
        <v>-37</v>
      </c>
      <c r="J14" s="53">
        <v>-37</v>
      </c>
      <c r="K14" s="53">
        <v>-37</v>
      </c>
      <c r="L14" s="54">
        <v>-37</v>
      </c>
      <c r="M14" s="53">
        <v>-37</v>
      </c>
      <c r="N14" s="53">
        <v>-37</v>
      </c>
      <c r="O14" s="53"/>
      <c r="P14" s="54"/>
      <c r="Q14" s="57"/>
      <c r="R14" s="57"/>
      <c r="S14" s="57"/>
      <c r="T14" s="57"/>
      <c r="U14" s="58"/>
      <c r="V14" s="57"/>
      <c r="W14" s="57"/>
      <c r="X14" s="57"/>
      <c r="Y14" s="58"/>
      <c r="Z14" s="57"/>
      <c r="AA14" s="57"/>
      <c r="AB14" s="57"/>
      <c r="AC14" s="58"/>
      <c r="AD14" s="59"/>
      <c r="AE14" s="57"/>
      <c r="AF14" s="57"/>
      <c r="AG14" s="58"/>
      <c r="AH14" s="57"/>
      <c r="AI14" s="57"/>
      <c r="AJ14" s="57"/>
      <c r="AK14" s="58"/>
      <c r="AL14" s="57"/>
      <c r="AM14" s="57"/>
      <c r="AN14" s="57"/>
      <c r="AO14" s="58"/>
      <c r="AP14" s="59"/>
      <c r="AQ14" s="57"/>
      <c r="AR14" s="57"/>
      <c r="AS14" s="58"/>
      <c r="AT14" s="57"/>
      <c r="AU14" s="57"/>
      <c r="AV14" s="57"/>
      <c r="AW14" s="58"/>
      <c r="AX14" s="57"/>
      <c r="AY14" s="57"/>
      <c r="AZ14" s="57"/>
      <c r="BA14" s="58"/>
      <c r="BB14" s="57"/>
      <c r="BC14" s="57"/>
      <c r="BD14" s="57"/>
      <c r="BE14" s="58"/>
      <c r="BF14" s="57"/>
      <c r="BG14" s="57"/>
      <c r="BH14" s="57"/>
      <c r="BI14" s="58"/>
      <c r="BJ14" s="57"/>
    </row>
    <row r="15" spans="1:62" ht="16" x14ac:dyDescent="0.2">
      <c r="A15" s="67"/>
      <c r="B15" s="68" t="s">
        <v>30</v>
      </c>
      <c r="C15" s="53"/>
      <c r="D15" s="53"/>
      <c r="E15" s="53">
        <v>-15</v>
      </c>
      <c r="F15" s="53">
        <f>-26.28-9.3-20.4</f>
        <v>-55.98</v>
      </c>
      <c r="G15" s="53">
        <v>-9.3000000000000007</v>
      </c>
      <c r="H15" s="53">
        <v>-76</v>
      </c>
      <c r="I15" s="53">
        <v>-77.5</v>
      </c>
      <c r="J15" s="53">
        <v>-25</v>
      </c>
      <c r="K15" s="53">
        <f>-9-18-20-5</f>
        <v>-52</v>
      </c>
      <c r="L15" s="54">
        <v>-6.3</v>
      </c>
      <c r="M15" s="53">
        <v>-33</v>
      </c>
      <c r="N15" s="53">
        <v>-34</v>
      </c>
      <c r="O15" s="53">
        <f>-10-34-17</f>
        <v>-61</v>
      </c>
      <c r="P15" s="54">
        <v>-54</v>
      </c>
      <c r="Q15" s="57"/>
      <c r="R15" s="57"/>
      <c r="S15" s="57"/>
      <c r="T15" s="57"/>
      <c r="U15" s="58"/>
      <c r="V15" s="57"/>
      <c r="W15" s="57"/>
      <c r="X15" s="57"/>
      <c r="Y15" s="58"/>
      <c r="Z15" s="57"/>
      <c r="AA15" s="57"/>
      <c r="AB15" s="57"/>
      <c r="AC15" s="58"/>
      <c r="AD15" s="59"/>
      <c r="AE15" s="57"/>
      <c r="AF15" s="57"/>
      <c r="AG15" s="58"/>
      <c r="AH15" s="57"/>
      <c r="AI15" s="57"/>
      <c r="AJ15" s="57"/>
      <c r="AK15" s="58"/>
      <c r="AL15" s="57"/>
      <c r="AM15" s="57"/>
      <c r="AN15" s="57"/>
      <c r="AO15" s="58"/>
      <c r="AP15" s="59"/>
      <c r="AQ15" s="57"/>
      <c r="AR15" s="57"/>
      <c r="AS15" s="58"/>
      <c r="AT15" s="57"/>
      <c r="AU15" s="57"/>
      <c r="AV15" s="57"/>
      <c r="AW15" s="58"/>
      <c r="AX15" s="57"/>
      <c r="AY15" s="57"/>
      <c r="AZ15" s="57"/>
      <c r="BA15" s="58"/>
      <c r="BB15" s="57"/>
      <c r="BC15" s="57"/>
      <c r="BD15" s="57"/>
      <c r="BE15" s="58"/>
      <c r="BF15" s="57"/>
      <c r="BG15" s="57"/>
      <c r="BH15" s="57"/>
      <c r="BI15" s="58"/>
      <c r="BJ15" s="57"/>
    </row>
    <row r="16" spans="1:62" ht="16" x14ac:dyDescent="0.2">
      <c r="A16" s="69"/>
      <c r="B16" s="68"/>
      <c r="C16" s="70"/>
      <c r="D16" s="70"/>
      <c r="E16" s="71"/>
      <c r="F16" s="70"/>
      <c r="G16" s="70"/>
      <c r="H16" s="70"/>
      <c r="I16" s="70"/>
      <c r="J16" s="70"/>
      <c r="K16" s="70"/>
      <c r="L16" s="72"/>
      <c r="M16" s="73"/>
      <c r="N16" s="73"/>
      <c r="O16" s="73"/>
      <c r="P16" s="72"/>
      <c r="Q16" s="74"/>
      <c r="R16" s="74"/>
      <c r="S16" s="74"/>
      <c r="T16" s="75"/>
      <c r="U16" s="76"/>
      <c r="V16" s="77"/>
      <c r="W16" s="77"/>
      <c r="X16" s="75"/>
      <c r="Y16" s="78"/>
      <c r="Z16" s="75"/>
      <c r="AA16" s="75"/>
      <c r="AB16" s="75"/>
      <c r="AC16" s="79"/>
      <c r="AD16" s="80"/>
      <c r="AE16" s="74"/>
      <c r="AF16" s="74"/>
      <c r="AG16" s="79"/>
      <c r="AH16" s="75"/>
      <c r="AI16" s="77"/>
      <c r="AJ16" s="77"/>
      <c r="AK16" s="76"/>
      <c r="AL16" s="75"/>
      <c r="AM16" s="75"/>
      <c r="AN16" s="75"/>
      <c r="AO16" s="78"/>
      <c r="AP16" s="81"/>
      <c r="AQ16" s="74"/>
      <c r="AR16" s="74"/>
      <c r="AS16" s="79"/>
      <c r="AT16" s="74"/>
      <c r="AU16" s="74"/>
      <c r="AV16" s="74"/>
      <c r="AW16" s="79"/>
      <c r="AX16" s="74"/>
      <c r="AY16" s="74"/>
      <c r="AZ16" s="74"/>
      <c r="BA16" s="79"/>
      <c r="BB16" s="74"/>
      <c r="BC16" s="74"/>
      <c r="BD16" s="74"/>
      <c r="BE16" s="79"/>
      <c r="BF16" s="74"/>
      <c r="BG16" s="74"/>
      <c r="BH16" s="74"/>
      <c r="BI16" s="79"/>
      <c r="BJ16" s="74"/>
    </row>
    <row r="17" spans="1:62" ht="16" x14ac:dyDescent="0.2">
      <c r="A17" s="69"/>
      <c r="B17" s="68" t="s">
        <v>31</v>
      </c>
      <c r="C17" s="70"/>
      <c r="D17" s="70"/>
      <c r="E17" s="71"/>
      <c r="F17" s="70"/>
      <c r="G17" s="70"/>
      <c r="H17" s="70"/>
      <c r="I17" s="70"/>
      <c r="J17" s="70"/>
      <c r="K17" s="70"/>
      <c r="L17" s="82">
        <f>L23</f>
        <v>6210.73</v>
      </c>
      <c r="M17" s="73"/>
      <c r="N17" s="73"/>
      <c r="O17" s="73"/>
      <c r="P17" s="83"/>
      <c r="U17" s="84"/>
      <c r="V17" s="74"/>
      <c r="W17" s="74"/>
      <c r="X17" s="74"/>
      <c r="Y17" s="85"/>
      <c r="Z17" s="77"/>
      <c r="AA17" s="86"/>
      <c r="AB17" s="77"/>
      <c r="AC17" s="85"/>
      <c r="AD17" s="80"/>
      <c r="AE17" s="74"/>
      <c r="AF17" s="74"/>
      <c r="AG17" s="79"/>
      <c r="AH17" s="85"/>
      <c r="AI17" s="77"/>
      <c r="AJ17" s="77"/>
      <c r="AK17" s="76"/>
      <c r="AL17" s="85"/>
      <c r="AM17" s="75"/>
      <c r="AN17" s="75"/>
      <c r="AO17" s="78"/>
      <c r="AP17" s="81"/>
      <c r="AQ17" s="74"/>
      <c r="AR17" s="74"/>
      <c r="AS17" s="79"/>
      <c r="AT17" s="74"/>
      <c r="AU17" s="74"/>
      <c r="AV17" s="74"/>
      <c r="AW17" s="79"/>
      <c r="AX17" s="74"/>
      <c r="AY17" s="74"/>
      <c r="AZ17" s="74"/>
      <c r="BA17" s="79"/>
      <c r="BB17" s="74"/>
      <c r="BC17" s="74"/>
      <c r="BD17" s="74"/>
      <c r="BE17" s="79"/>
      <c r="BF17" s="74"/>
      <c r="BG17" s="74"/>
      <c r="BH17" s="74"/>
      <c r="BI17" s="79"/>
      <c r="BJ17" s="74"/>
    </row>
    <row r="18" spans="1:62" ht="16" x14ac:dyDescent="0.2">
      <c r="A18" s="69"/>
      <c r="B18" s="68" t="s">
        <v>32</v>
      </c>
      <c r="C18" s="70"/>
      <c r="D18" s="70"/>
      <c r="E18" s="71"/>
      <c r="F18" s="70"/>
      <c r="G18" s="70"/>
      <c r="H18" s="70"/>
      <c r="I18" s="70"/>
      <c r="J18" s="70"/>
      <c r="K18" s="70"/>
      <c r="L18" s="87" t="e">
        <f>#REF!*0.3</f>
        <v>#REF!</v>
      </c>
      <c r="M18" s="73"/>
      <c r="N18" s="73"/>
      <c r="O18" s="73"/>
      <c r="P18" s="83"/>
      <c r="U18" s="88"/>
      <c r="V18" s="74"/>
      <c r="W18" s="74"/>
      <c r="X18" s="74"/>
      <c r="Y18" s="89"/>
      <c r="Z18" s="77"/>
      <c r="AA18" s="86"/>
      <c r="AB18" s="77"/>
      <c r="AC18" s="89"/>
      <c r="AD18" s="80"/>
      <c r="AE18" s="74"/>
      <c r="AF18" s="74"/>
      <c r="AG18" s="79"/>
      <c r="AH18" s="89"/>
      <c r="AI18" s="77"/>
      <c r="AJ18" s="77"/>
      <c r="AK18" s="76"/>
      <c r="AL18" s="89"/>
      <c r="AM18" s="77"/>
      <c r="AN18" s="77"/>
      <c r="AO18" s="76"/>
      <c r="AP18" s="90"/>
      <c r="AQ18" s="74"/>
      <c r="AR18" s="74"/>
      <c r="AS18" s="79"/>
      <c r="AT18" s="74"/>
      <c r="AU18" s="74"/>
      <c r="AV18" s="74"/>
      <c r="AW18" s="79"/>
      <c r="AX18" s="74"/>
      <c r="AY18" s="74"/>
      <c r="AZ18" s="74"/>
      <c r="BA18" s="79"/>
      <c r="BB18" s="74"/>
      <c r="BC18" s="74"/>
      <c r="BD18" s="74"/>
      <c r="BE18" s="79"/>
      <c r="BF18" s="74"/>
      <c r="BG18" s="74"/>
      <c r="BH18" s="74"/>
      <c r="BI18" s="79"/>
      <c r="BJ18" s="74"/>
    </row>
    <row r="19" spans="1:62" ht="16" x14ac:dyDescent="0.2">
      <c r="A19" s="69"/>
      <c r="B19" s="68" t="s">
        <v>33</v>
      </c>
      <c r="C19" s="70"/>
      <c r="D19" s="70"/>
      <c r="E19" s="71"/>
      <c r="F19" s="70"/>
      <c r="G19" s="70"/>
      <c r="H19" s="70"/>
      <c r="I19" s="70"/>
      <c r="J19" s="70"/>
      <c r="K19" s="70"/>
      <c r="L19" s="82" t="e">
        <f>L17-L18</f>
        <v>#REF!</v>
      </c>
      <c r="M19" s="73"/>
      <c r="N19" s="73"/>
      <c r="O19" s="73"/>
      <c r="P19" s="83"/>
      <c r="U19" s="84"/>
      <c r="V19" s="74"/>
      <c r="W19" s="74"/>
      <c r="X19" s="74"/>
      <c r="Y19" s="85"/>
      <c r="Z19" s="75"/>
      <c r="AA19" s="91"/>
      <c r="AB19" s="75"/>
      <c r="AC19" s="85"/>
      <c r="AD19" s="80"/>
      <c r="AE19" s="74"/>
      <c r="AF19" s="74"/>
      <c r="AG19" s="79"/>
      <c r="AH19" s="85"/>
      <c r="AI19" s="75"/>
      <c r="AJ19" s="75"/>
      <c r="AK19" s="78"/>
      <c r="AL19" s="85"/>
      <c r="AM19" s="75"/>
      <c r="AN19" s="75"/>
      <c r="AO19" s="78"/>
      <c r="AP19" s="81"/>
      <c r="AQ19" s="74"/>
      <c r="AR19" s="74"/>
      <c r="AS19" s="79"/>
      <c r="AT19" s="74"/>
      <c r="AU19" s="74"/>
      <c r="AV19" s="74"/>
      <c r="AW19" s="79"/>
      <c r="AX19" s="74"/>
      <c r="AY19" s="74"/>
      <c r="AZ19" s="74"/>
      <c r="BA19" s="79"/>
      <c r="BB19" s="74"/>
      <c r="BC19" s="74"/>
      <c r="BD19" s="74"/>
      <c r="BE19" s="79"/>
      <c r="BF19" s="74"/>
      <c r="BG19" s="74"/>
      <c r="BH19" s="74"/>
      <c r="BI19" s="79"/>
      <c r="BJ19" s="74"/>
    </row>
    <row r="20" spans="1:62" ht="16" x14ac:dyDescent="0.2">
      <c r="A20" s="69"/>
      <c r="B20" s="68"/>
      <c r="C20" s="70"/>
      <c r="D20" s="70"/>
      <c r="E20" s="71"/>
      <c r="F20" s="70"/>
      <c r="G20" s="70"/>
      <c r="H20" s="70"/>
      <c r="I20" s="70"/>
      <c r="J20" s="70"/>
      <c r="K20" s="70"/>
      <c r="L20" s="87" t="s">
        <v>34</v>
      </c>
      <c r="M20" s="73"/>
      <c r="N20" s="73"/>
      <c r="O20" s="73"/>
      <c r="P20" s="83"/>
      <c r="U20" s="88"/>
      <c r="V20" s="74"/>
      <c r="W20" s="74"/>
      <c r="X20" s="74"/>
      <c r="Y20" s="89"/>
      <c r="Z20" s="77"/>
      <c r="AA20" s="86"/>
      <c r="AB20" s="77"/>
      <c r="AC20" s="89"/>
      <c r="AD20" s="80"/>
      <c r="AE20" s="74"/>
      <c r="AF20" s="74"/>
      <c r="AG20" s="79"/>
      <c r="AH20" s="89"/>
      <c r="AI20" s="77"/>
      <c r="AJ20" s="77"/>
      <c r="AK20" s="76"/>
      <c r="AL20" s="89"/>
      <c r="AM20" s="77"/>
      <c r="AN20" s="77"/>
      <c r="AO20" s="76"/>
      <c r="AP20" s="90"/>
      <c r="AQ20" s="74"/>
      <c r="AR20" s="74"/>
      <c r="AS20" s="79"/>
      <c r="AT20" s="74"/>
      <c r="AU20" s="74"/>
      <c r="AV20" s="74"/>
      <c r="AW20" s="79"/>
      <c r="AX20" s="74"/>
      <c r="AY20" s="74"/>
      <c r="AZ20" s="74"/>
      <c r="BA20" s="79"/>
      <c r="BB20" s="74"/>
      <c r="BC20" s="74"/>
      <c r="BD20" s="74"/>
      <c r="BE20" s="79"/>
      <c r="BF20" s="74"/>
      <c r="BG20" s="74"/>
      <c r="BH20" s="74"/>
      <c r="BI20" s="79"/>
      <c r="BJ20" s="74"/>
    </row>
    <row r="21" spans="1:62" ht="16" x14ac:dyDescent="0.2">
      <c r="A21" s="69"/>
      <c r="B21" s="92" t="s">
        <v>35</v>
      </c>
      <c r="C21" s="70">
        <f>SUM(C10:C15)</f>
        <v>2740.79</v>
      </c>
      <c r="D21" s="70">
        <f>SUM(D12:D15)</f>
        <v>4775</v>
      </c>
      <c r="E21" s="70">
        <f>SUM(E12:E20)</f>
        <v>3014</v>
      </c>
      <c r="F21" s="70">
        <f t="shared" ref="F21:BI21" si="10">SUM(F10:F15)</f>
        <v>1710.42</v>
      </c>
      <c r="G21" s="70">
        <f t="shared" si="10"/>
        <v>1783.9600000000003</v>
      </c>
      <c r="H21" s="70">
        <f t="shared" si="10"/>
        <v>2149</v>
      </c>
      <c r="I21" s="70">
        <f t="shared" si="10"/>
        <v>7599.5</v>
      </c>
      <c r="J21" s="70">
        <f t="shared" si="10"/>
        <v>8926</v>
      </c>
      <c r="K21" s="70">
        <f t="shared" si="10"/>
        <v>10304</v>
      </c>
      <c r="L21" s="93">
        <f t="shared" si="10"/>
        <v>11491.12</v>
      </c>
      <c r="M21" s="70">
        <f t="shared" si="10"/>
        <v>12627</v>
      </c>
      <c r="N21" s="70">
        <f t="shared" si="10"/>
        <v>9683</v>
      </c>
      <c r="O21" s="70">
        <f t="shared" si="10"/>
        <v>11156</v>
      </c>
      <c r="P21" s="93">
        <f t="shared" si="10"/>
        <v>10316</v>
      </c>
      <c r="Q21" s="74">
        <f t="shared" si="10"/>
        <v>12494.279999999999</v>
      </c>
      <c r="R21" s="74">
        <f t="shared" si="10"/>
        <v>7352.0266666666657</v>
      </c>
      <c r="S21" s="74">
        <f t="shared" si="10"/>
        <v>8821.9586666666655</v>
      </c>
      <c r="T21" s="74">
        <f t="shared" si="10"/>
        <v>10475.508746666665</v>
      </c>
      <c r="U21" s="79">
        <f t="shared" si="10"/>
        <v>11960.050829866665</v>
      </c>
      <c r="V21" s="74">
        <f t="shared" si="10"/>
        <v>10997.412736554665</v>
      </c>
      <c r="W21" s="74">
        <f t="shared" si="10"/>
        <v>10753.159034885119</v>
      </c>
      <c r="X21" s="74">
        <f t="shared" si="10"/>
        <v>12567.558750361804</v>
      </c>
      <c r="Y21" s="79">
        <f t="shared" si="10"/>
        <v>14344.205254457556</v>
      </c>
      <c r="Z21" s="74">
        <f t="shared" si="10"/>
        <v>10569.503537287859</v>
      </c>
      <c r="AA21" s="74">
        <f t="shared" si="10"/>
        <v>11181.10539425543</v>
      </c>
      <c r="AB21" s="74">
        <f t="shared" si="10"/>
        <v>13324.082857038595</v>
      </c>
      <c r="AC21" s="79">
        <f t="shared" si="10"/>
        <v>15442.450218333086</v>
      </c>
      <c r="AD21" s="80">
        <f t="shared" si="10"/>
        <v>14261.649435451382</v>
      </c>
      <c r="AE21" s="74">
        <f t="shared" si="10"/>
        <v>15069.372211624723</v>
      </c>
      <c r="AF21" s="74">
        <f t="shared" si="10"/>
        <v>18013.44312071563</v>
      </c>
      <c r="AG21" s="79">
        <f t="shared" si="10"/>
        <v>21292.020393442901</v>
      </c>
      <c r="AH21" s="74">
        <f t="shared" si="10"/>
        <v>20351.978454820783</v>
      </c>
      <c r="AI21" s="74">
        <f t="shared" si="10"/>
        <v>22967.541574366238</v>
      </c>
      <c r="AJ21" s="74">
        <f t="shared" si="10"/>
        <v>24376.768569722208</v>
      </c>
      <c r="AK21" s="79">
        <f t="shared" si="10"/>
        <v>28499.314577289799</v>
      </c>
      <c r="AL21" s="74">
        <f t="shared" si="10"/>
        <v>27211.611658210673</v>
      </c>
      <c r="AM21" s="74">
        <f t="shared" si="10"/>
        <v>30993.792082274809</v>
      </c>
      <c r="AN21" s="74">
        <f t="shared" si="10"/>
        <v>33633.697236787433</v>
      </c>
      <c r="AO21" s="79">
        <f t="shared" si="10"/>
        <v>39091.903396298461</v>
      </c>
      <c r="AP21" s="80">
        <f t="shared" si="10"/>
        <v>37458.376849654189</v>
      </c>
      <c r="AQ21" s="74">
        <f t="shared" si="10"/>
        <v>43247.834581678369</v>
      </c>
      <c r="AR21" s="74">
        <f t="shared" si="10"/>
        <v>46470.377040721956</v>
      </c>
      <c r="AS21" s="79">
        <f t="shared" si="10"/>
        <v>53679.361198116443</v>
      </c>
      <c r="AT21" s="74">
        <f t="shared" si="10"/>
        <v>51592.530420296047</v>
      </c>
      <c r="AU21" s="74">
        <f t="shared" si="10"/>
        <v>59386.45388209699</v>
      </c>
      <c r="AV21" s="74">
        <f t="shared" si="10"/>
        <v>68257.151986224009</v>
      </c>
      <c r="AW21" s="79">
        <f t="shared" si="10"/>
        <v>77761.048957639912</v>
      </c>
      <c r="AX21" s="74">
        <f t="shared" si="10"/>
        <v>75080.028802277739</v>
      </c>
      <c r="AY21" s="74">
        <f t="shared" si="10"/>
        <v>85501.397944851808</v>
      </c>
      <c r="AZ21" s="74">
        <f t="shared" si="10"/>
        <v>97183.462927406057</v>
      </c>
      <c r="BA21" s="79">
        <f t="shared" si="10"/>
        <v>109695.52245873911</v>
      </c>
      <c r="BB21" s="74">
        <f t="shared" si="10"/>
        <v>106235.64123811079</v>
      </c>
      <c r="BC21" s="74">
        <f t="shared" si="10"/>
        <v>120406.05569553401</v>
      </c>
      <c r="BD21" s="74">
        <f t="shared" si="10"/>
        <v>135773.24916497685</v>
      </c>
      <c r="BE21" s="79">
        <f t="shared" si="10"/>
        <v>152228.39617728069</v>
      </c>
      <c r="BF21" s="74">
        <f t="shared" si="10"/>
        <v>147747.58697995718</v>
      </c>
      <c r="BG21" s="74">
        <f t="shared" si="10"/>
        <v>166432.44229434384</v>
      </c>
      <c r="BH21" s="74">
        <f t="shared" si="10"/>
        <v>186630.08748073757</v>
      </c>
      <c r="BI21" s="79">
        <f t="shared" si="10"/>
        <v>208253.81783017886</v>
      </c>
      <c r="BJ21" s="74"/>
    </row>
    <row r="22" spans="1:62" ht="15.75" customHeight="1" x14ac:dyDescent="0.2">
      <c r="A22" s="94"/>
      <c r="B22" s="95" t="s">
        <v>36</v>
      </c>
      <c r="C22" s="53">
        <v>17810</v>
      </c>
      <c r="D22" s="53">
        <f>C22-(D5*D8)</f>
        <v>16940.87</v>
      </c>
      <c r="E22" s="53">
        <v>16219</v>
      </c>
      <c r="F22" s="53">
        <v>15752</v>
      </c>
      <c r="G22" s="53">
        <v>15386</v>
      </c>
      <c r="H22" s="53">
        <f>I22-H43</f>
        <v>14648</v>
      </c>
      <c r="I22" s="53">
        <v>14110</v>
      </c>
      <c r="J22" s="53">
        <v>13632</v>
      </c>
      <c r="K22" s="53">
        <v>13079</v>
      </c>
      <c r="L22" s="54">
        <v>12726</v>
      </c>
      <c r="M22" s="53">
        <v>13199</v>
      </c>
      <c r="N22" s="53">
        <v>12798</v>
      </c>
      <c r="O22" s="53">
        <v>12153</v>
      </c>
      <c r="P22" s="54">
        <v>14601</v>
      </c>
      <c r="Q22" s="57">
        <f t="shared" ref="Q22:BI22" si="11">P22+P43</f>
        <v>14160</v>
      </c>
      <c r="R22" s="57">
        <f t="shared" si="11"/>
        <v>13701.36</v>
      </c>
      <c r="S22" s="57">
        <f t="shared" si="11"/>
        <v>13224.374400000001</v>
      </c>
      <c r="T22" s="57">
        <f t="shared" si="11"/>
        <v>12728.309376000001</v>
      </c>
      <c r="U22" s="58">
        <f t="shared" si="11"/>
        <v>12212.401751040001</v>
      </c>
      <c r="V22" s="57">
        <f t="shared" si="11"/>
        <v>11675.857821081601</v>
      </c>
      <c r="W22" s="57">
        <f t="shared" si="11"/>
        <v>11117.852133924865</v>
      </c>
      <c r="X22" s="57">
        <f t="shared" si="11"/>
        <v>10537.526219281859</v>
      </c>
      <c r="Y22" s="58">
        <f t="shared" si="11"/>
        <v>9933.9872680531334</v>
      </c>
      <c r="Z22" s="57">
        <f t="shared" si="11"/>
        <v>9306.3067587752594</v>
      </c>
      <c r="AA22" s="57">
        <f t="shared" si="11"/>
        <v>8653.5190291262697</v>
      </c>
      <c r="AB22" s="57">
        <f t="shared" si="11"/>
        <v>7974.61979029132</v>
      </c>
      <c r="AC22" s="58">
        <f t="shared" si="11"/>
        <v>7268.5645819029723</v>
      </c>
      <c r="AD22" s="59">
        <f t="shared" si="11"/>
        <v>6534.2671651790906</v>
      </c>
      <c r="AE22" s="57">
        <f t="shared" si="11"/>
        <v>5675.1762560881816</v>
      </c>
      <c r="AF22" s="57">
        <f t="shared" si="11"/>
        <v>4755.9489833609086</v>
      </c>
      <c r="AG22" s="58">
        <f t="shared" si="11"/>
        <v>3772.375801542727</v>
      </c>
      <c r="AH22" s="57">
        <f t="shared" si="11"/>
        <v>2719.9524969972722</v>
      </c>
      <c r="AI22" s="57">
        <f t="shared" si="11"/>
        <v>1593.8595611336355</v>
      </c>
      <c r="AJ22" s="57">
        <f t="shared" si="11"/>
        <v>388.94011975954413</v>
      </c>
      <c r="AK22" s="58">
        <f t="shared" si="11"/>
        <v>-900.32368251073353</v>
      </c>
      <c r="AL22" s="57">
        <f t="shared" si="11"/>
        <v>-2279.8359509399306</v>
      </c>
      <c r="AM22" s="57">
        <f t="shared" si="11"/>
        <v>-3755.9140781591718</v>
      </c>
      <c r="AN22" s="57">
        <f t="shared" si="11"/>
        <v>-5335.3176742837604</v>
      </c>
      <c r="AO22" s="58">
        <f t="shared" si="11"/>
        <v>-7025.2795221370698</v>
      </c>
      <c r="AP22" s="59">
        <f t="shared" si="11"/>
        <v>-8833.5386993401116</v>
      </c>
      <c r="AQ22" s="57">
        <f t="shared" si="11"/>
        <v>-10768.376018947365</v>
      </c>
      <c r="AR22" s="57">
        <f t="shared" si="11"/>
        <v>-12838.651950927127</v>
      </c>
      <c r="AS22" s="58">
        <f t="shared" si="11"/>
        <v>-15053.847198145473</v>
      </c>
      <c r="AT22" s="57">
        <f t="shared" si="11"/>
        <v>-17424.106112669102</v>
      </c>
      <c r="AU22" s="57">
        <f t="shared" si="11"/>
        <v>-19960.283151209384</v>
      </c>
      <c r="AV22" s="57">
        <f t="shared" si="11"/>
        <v>-22673.992582447489</v>
      </c>
      <c r="AW22" s="58">
        <f t="shared" si="11"/>
        <v>-25577.661673872259</v>
      </c>
      <c r="AX22" s="57">
        <f t="shared" si="11"/>
        <v>-28684.587601696763</v>
      </c>
      <c r="AY22" s="57">
        <f t="shared" si="11"/>
        <v>-32008.998344468982</v>
      </c>
      <c r="AZ22" s="57">
        <f t="shared" si="11"/>
        <v>-35566.117839235259</v>
      </c>
      <c r="BA22" s="58">
        <f t="shared" si="11"/>
        <v>-39372.235698635173</v>
      </c>
      <c r="BB22" s="57">
        <f t="shared" si="11"/>
        <v>-43444.781808193082</v>
      </c>
      <c r="BC22" s="57">
        <f t="shared" si="11"/>
        <v>-47802.406145420042</v>
      </c>
      <c r="BD22" s="57">
        <f t="shared" si="11"/>
        <v>-52465.064186252894</v>
      </c>
      <c r="BE22" s="58">
        <f t="shared" si="11"/>
        <v>-57454.108289944044</v>
      </c>
      <c r="BF22" s="57">
        <f t="shared" si="11"/>
        <v>-62792.385480893579</v>
      </c>
      <c r="BG22" s="57">
        <f t="shared" si="11"/>
        <v>-68504.342075209584</v>
      </c>
      <c r="BH22" s="57">
        <f t="shared" si="11"/>
        <v>-74616.135631127705</v>
      </c>
      <c r="BI22" s="58">
        <f t="shared" si="11"/>
        <v>-81155.754735960087</v>
      </c>
      <c r="BJ22" s="57"/>
    </row>
    <row r="23" spans="1:62" ht="15.75" customHeight="1" x14ac:dyDescent="0.2">
      <c r="A23" s="94"/>
      <c r="B23" s="95" t="s">
        <v>37</v>
      </c>
      <c r="C23" s="53"/>
      <c r="D23" s="53"/>
      <c r="E23" s="53">
        <v>2441</v>
      </c>
      <c r="F23" s="53">
        <v>2909</v>
      </c>
      <c r="G23" s="53">
        <f>F23-F43</f>
        <v>3589</v>
      </c>
      <c r="H23" s="53">
        <v>4297</v>
      </c>
      <c r="I23" s="53">
        <f>H23-H43</f>
        <v>4835</v>
      </c>
      <c r="J23" s="53">
        <v>5363</v>
      </c>
      <c r="K23" s="53">
        <v>5806</v>
      </c>
      <c r="L23" s="54">
        <f>K23-K43</f>
        <v>6210.73</v>
      </c>
      <c r="M23" s="53">
        <f>L23-L43-865</f>
        <v>5886.4349999999995</v>
      </c>
      <c r="N23" s="53">
        <f>M23-M43</f>
        <v>6260.4349999999995</v>
      </c>
      <c r="O23" s="53">
        <f>N23-N43+203</f>
        <v>6974.5449999999992</v>
      </c>
      <c r="P23" s="53">
        <f>O23-O43+203-1908</f>
        <v>5699.6549999999988</v>
      </c>
      <c r="Q23" s="57">
        <f t="shared" ref="Q23:AD23" si="12">P23-P43</f>
        <v>6140.6549999999988</v>
      </c>
      <c r="R23" s="57">
        <f t="shared" si="12"/>
        <v>6599.2949999999992</v>
      </c>
      <c r="S23" s="57">
        <f t="shared" si="12"/>
        <v>7076.2805999999991</v>
      </c>
      <c r="T23" s="57">
        <f t="shared" si="12"/>
        <v>7572.3456239999996</v>
      </c>
      <c r="U23" s="58">
        <f t="shared" si="12"/>
        <v>8088.2532489599998</v>
      </c>
      <c r="V23" s="57">
        <f t="shared" si="12"/>
        <v>8624.7971789183994</v>
      </c>
      <c r="W23" s="57">
        <f t="shared" si="12"/>
        <v>9182.8028660751352</v>
      </c>
      <c r="X23" s="57">
        <f t="shared" si="12"/>
        <v>9763.1287807181416</v>
      </c>
      <c r="Y23" s="58">
        <f t="shared" si="12"/>
        <v>10366.667731946867</v>
      </c>
      <c r="Z23" s="57">
        <f t="shared" si="12"/>
        <v>10994.348241224741</v>
      </c>
      <c r="AA23" s="57">
        <f t="shared" si="12"/>
        <v>11647.135970873731</v>
      </c>
      <c r="AB23" s="57">
        <f t="shared" si="12"/>
        <v>12326.03520970868</v>
      </c>
      <c r="AC23" s="58">
        <f t="shared" si="12"/>
        <v>13032.090418097026</v>
      </c>
      <c r="AD23" s="59">
        <f t="shared" si="12"/>
        <v>13766.387834820907</v>
      </c>
      <c r="AE23" s="57">
        <f t="shared" ref="AE23:BI23" si="13">AD23-AD43+(AD5*$A$13)</f>
        <v>14911.842380275453</v>
      </c>
      <c r="AF23" s="57">
        <f t="shared" si="13"/>
        <v>16137.478743911815</v>
      </c>
      <c r="AG23" s="58">
        <f t="shared" si="13"/>
        <v>17448.909653002724</v>
      </c>
      <c r="AH23" s="57">
        <f t="shared" si="13"/>
        <v>18852.140725729994</v>
      </c>
      <c r="AI23" s="57">
        <f t="shared" si="13"/>
        <v>20353.597973548174</v>
      </c>
      <c r="AJ23" s="57">
        <f t="shared" si="13"/>
        <v>21960.15722871363</v>
      </c>
      <c r="AK23" s="58">
        <f t="shared" si="13"/>
        <v>23679.175631740665</v>
      </c>
      <c r="AL23" s="57">
        <f t="shared" si="13"/>
        <v>25518.525322979593</v>
      </c>
      <c r="AM23" s="57">
        <f t="shared" si="13"/>
        <v>27486.629492605247</v>
      </c>
      <c r="AN23" s="57">
        <f t="shared" si="13"/>
        <v>29592.5009541047</v>
      </c>
      <c r="AO23" s="58">
        <f t="shared" si="13"/>
        <v>31845.783417909111</v>
      </c>
      <c r="AP23" s="59">
        <f t="shared" si="13"/>
        <v>34256.795654179834</v>
      </c>
      <c r="AQ23" s="57">
        <f t="shared" si="13"/>
        <v>36836.578746989508</v>
      </c>
      <c r="AR23" s="57">
        <f t="shared" si="13"/>
        <v>39596.946656295855</v>
      </c>
      <c r="AS23" s="58">
        <f t="shared" si="13"/>
        <v>42550.540319253654</v>
      </c>
      <c r="AT23" s="57">
        <f t="shared" si="13"/>
        <v>45710.885538618488</v>
      </c>
      <c r="AU23" s="57">
        <f t="shared" si="13"/>
        <v>49092.454923338868</v>
      </c>
      <c r="AV23" s="57">
        <f t="shared" si="13"/>
        <v>52710.73416498967</v>
      </c>
      <c r="AW23" s="58">
        <f t="shared" si="13"/>
        <v>56582.292953556032</v>
      </c>
      <c r="AX23" s="57">
        <f t="shared" si="13"/>
        <v>60724.860857322041</v>
      </c>
      <c r="AY23" s="57">
        <f t="shared" si="13"/>
        <v>65157.408514351664</v>
      </c>
      <c r="AZ23" s="57">
        <f t="shared" si="13"/>
        <v>69900.234507373374</v>
      </c>
      <c r="BA23" s="58">
        <f t="shared" si="13"/>
        <v>74975.058319906602</v>
      </c>
      <c r="BB23" s="57">
        <f t="shared" si="13"/>
        <v>80405.119799317152</v>
      </c>
      <c r="BC23" s="57">
        <f t="shared" si="13"/>
        <v>86215.285582286437</v>
      </c>
      <c r="BD23" s="57">
        <f t="shared" si="13"/>
        <v>92432.162970063582</v>
      </c>
      <c r="BE23" s="58">
        <f t="shared" si="13"/>
        <v>99084.221774985112</v>
      </c>
      <c r="BF23" s="57">
        <f t="shared" si="13"/>
        <v>106201.92469625115</v>
      </c>
      <c r="BG23" s="57">
        <f t="shared" si="13"/>
        <v>113817.86682200582</v>
      </c>
      <c r="BH23" s="57">
        <f t="shared" si="13"/>
        <v>121966.92489656332</v>
      </c>
      <c r="BI23" s="58">
        <f t="shared" si="13"/>
        <v>130686.41703633983</v>
      </c>
      <c r="BJ23" s="57"/>
    </row>
    <row r="24" spans="1:62" ht="15.75" customHeight="1" x14ac:dyDescent="0.2">
      <c r="A24" s="69"/>
      <c r="B24" s="92" t="s">
        <v>38</v>
      </c>
      <c r="C24" s="70">
        <f t="shared" ref="C24:G24" si="14">SUM(C21:C22)</f>
        <v>20550.79</v>
      </c>
      <c r="D24" s="70">
        <f t="shared" si="14"/>
        <v>21715.87</v>
      </c>
      <c r="E24" s="70">
        <f t="shared" si="14"/>
        <v>19233</v>
      </c>
      <c r="F24" s="70">
        <f t="shared" si="14"/>
        <v>17462.419999999998</v>
      </c>
      <c r="G24" s="70">
        <f t="shared" si="14"/>
        <v>17169.96</v>
      </c>
      <c r="H24" s="70">
        <f>SUM(H21:H23)</f>
        <v>21094</v>
      </c>
      <c r="I24" s="70">
        <f t="shared" ref="I24:AT24" si="15">SUM(I21:I22)</f>
        <v>21709.5</v>
      </c>
      <c r="J24" s="70">
        <f t="shared" si="15"/>
        <v>22558</v>
      </c>
      <c r="K24" s="70">
        <f t="shared" si="15"/>
        <v>23383</v>
      </c>
      <c r="L24" s="93">
        <f t="shared" si="15"/>
        <v>24217.120000000003</v>
      </c>
      <c r="M24" s="70">
        <f t="shared" si="15"/>
        <v>25826</v>
      </c>
      <c r="N24" s="70">
        <f t="shared" si="15"/>
        <v>22481</v>
      </c>
      <c r="O24" s="70">
        <f t="shared" si="15"/>
        <v>23309</v>
      </c>
      <c r="P24" s="93">
        <f t="shared" si="15"/>
        <v>24917</v>
      </c>
      <c r="Q24" s="74">
        <f t="shared" si="15"/>
        <v>26654.28</v>
      </c>
      <c r="R24" s="74">
        <f t="shared" si="15"/>
        <v>21053.386666666665</v>
      </c>
      <c r="S24" s="74">
        <f t="shared" si="15"/>
        <v>22046.333066666666</v>
      </c>
      <c r="T24" s="74">
        <f t="shared" si="15"/>
        <v>23203.818122666664</v>
      </c>
      <c r="U24" s="79">
        <f t="shared" si="15"/>
        <v>24172.452580906665</v>
      </c>
      <c r="V24" s="74">
        <f t="shared" si="15"/>
        <v>22673.270557636264</v>
      </c>
      <c r="W24" s="74">
        <f t="shared" si="15"/>
        <v>21871.011168809986</v>
      </c>
      <c r="X24" s="74">
        <f t="shared" si="15"/>
        <v>23105.084969643663</v>
      </c>
      <c r="Y24" s="79">
        <f t="shared" si="15"/>
        <v>24278.19252251069</v>
      </c>
      <c r="Z24" s="74">
        <f t="shared" si="15"/>
        <v>19875.810296063119</v>
      </c>
      <c r="AA24" s="74">
        <f t="shared" si="15"/>
        <v>19834.624423381698</v>
      </c>
      <c r="AB24" s="74">
        <f t="shared" si="15"/>
        <v>21298.702647329916</v>
      </c>
      <c r="AC24" s="79">
        <f t="shared" si="15"/>
        <v>22711.014800236058</v>
      </c>
      <c r="AD24" s="80">
        <f t="shared" si="15"/>
        <v>20795.916600630473</v>
      </c>
      <c r="AE24" s="74">
        <f t="shared" si="15"/>
        <v>20744.548467712906</v>
      </c>
      <c r="AF24" s="74">
        <f t="shared" si="15"/>
        <v>22769.392104076538</v>
      </c>
      <c r="AG24" s="79">
        <f t="shared" si="15"/>
        <v>25064.396194985628</v>
      </c>
      <c r="AH24" s="74">
        <f t="shared" si="15"/>
        <v>23071.930951818056</v>
      </c>
      <c r="AI24" s="74">
        <f t="shared" si="15"/>
        <v>24561.401135499873</v>
      </c>
      <c r="AJ24" s="74">
        <f t="shared" si="15"/>
        <v>24765.708689481751</v>
      </c>
      <c r="AK24" s="79">
        <f t="shared" si="15"/>
        <v>27598.990894779065</v>
      </c>
      <c r="AL24" s="74">
        <f t="shared" si="15"/>
        <v>24931.775707270743</v>
      </c>
      <c r="AM24" s="74">
        <f t="shared" si="15"/>
        <v>27237.878004115639</v>
      </c>
      <c r="AN24" s="74">
        <f t="shared" si="15"/>
        <v>28298.379562503673</v>
      </c>
      <c r="AO24" s="79">
        <f t="shared" si="15"/>
        <v>32066.623874161392</v>
      </c>
      <c r="AP24" s="80">
        <f t="shared" si="15"/>
        <v>28624.838150314077</v>
      </c>
      <c r="AQ24" s="74">
        <f t="shared" si="15"/>
        <v>32479.458562731004</v>
      </c>
      <c r="AR24" s="74">
        <f t="shared" si="15"/>
        <v>33631.725089794825</v>
      </c>
      <c r="AS24" s="79">
        <f t="shared" si="15"/>
        <v>38625.513999970972</v>
      </c>
      <c r="AT24" s="74">
        <f t="shared" si="15"/>
        <v>34168.424307626949</v>
      </c>
      <c r="AU24" s="74">
        <f t="shared" ref="AU24:AW24" si="16">SUM(AU21:AU23)</f>
        <v>88518.625654226475</v>
      </c>
      <c r="AV24" s="74">
        <f t="shared" si="16"/>
        <v>98293.893568766187</v>
      </c>
      <c r="AW24" s="79">
        <f t="shared" si="16"/>
        <v>108765.68023732369</v>
      </c>
      <c r="AX24" s="74">
        <f>SUM(AX21:AX22)</f>
        <v>46395.441200580972</v>
      </c>
      <c r="AY24" s="74">
        <f t="shared" ref="AY24:BA24" si="17">SUM(AY21:AY23)</f>
        <v>118649.80811473448</v>
      </c>
      <c r="AZ24" s="74">
        <f t="shared" si="17"/>
        <v>131517.57959554417</v>
      </c>
      <c r="BA24" s="79">
        <f t="shared" si="17"/>
        <v>145298.34508001053</v>
      </c>
      <c r="BB24" s="74">
        <f>SUM(BB21:BB22)</f>
        <v>62790.859429917713</v>
      </c>
      <c r="BC24" s="74">
        <f t="shared" ref="BC24:BE24" si="18">SUM(BC21:BC23)</f>
        <v>158818.93513240042</v>
      </c>
      <c r="BD24" s="74">
        <f t="shared" si="18"/>
        <v>175740.34794878756</v>
      </c>
      <c r="BE24" s="79">
        <f t="shared" si="18"/>
        <v>193858.50966232177</v>
      </c>
      <c r="BF24" s="74">
        <f>SUM(BF21:BF22)</f>
        <v>84955.201499063609</v>
      </c>
      <c r="BG24" s="74">
        <f t="shared" ref="BG24:BI24" si="19">SUM(BG21:BG23)</f>
        <v>211745.96704114007</v>
      </c>
      <c r="BH24" s="74">
        <f t="shared" si="19"/>
        <v>233980.87674617319</v>
      </c>
      <c r="BI24" s="79">
        <f t="shared" si="19"/>
        <v>257784.4801305586</v>
      </c>
      <c r="BJ24" s="74"/>
    </row>
    <row r="25" spans="1:62" ht="15.75" customHeight="1" x14ac:dyDescent="0.2">
      <c r="A25" s="94"/>
      <c r="B25" s="92"/>
      <c r="C25" s="96"/>
      <c r="D25" s="96"/>
      <c r="E25" s="96"/>
      <c r="F25" s="96"/>
      <c r="G25" s="96"/>
      <c r="H25" s="96"/>
      <c r="I25" s="96"/>
      <c r="J25" s="96"/>
      <c r="K25" s="96"/>
      <c r="L25" s="97"/>
      <c r="M25" s="96"/>
      <c r="N25" s="96"/>
      <c r="O25" s="96"/>
      <c r="P25" s="97"/>
      <c r="Q25" s="98"/>
      <c r="R25" s="98"/>
      <c r="S25" s="98"/>
      <c r="T25" s="98"/>
      <c r="U25" s="99"/>
      <c r="V25" s="98"/>
      <c r="W25" s="98"/>
      <c r="X25" s="98"/>
      <c r="Y25" s="99"/>
      <c r="Z25" s="98"/>
      <c r="AA25" s="98"/>
      <c r="AB25" s="98"/>
      <c r="AC25" s="99"/>
      <c r="AD25" s="100"/>
      <c r="AE25" s="98"/>
      <c r="AF25" s="98"/>
      <c r="AG25" s="99"/>
      <c r="AH25" s="98"/>
      <c r="AI25" s="98"/>
      <c r="AJ25" s="98"/>
      <c r="AK25" s="99"/>
      <c r="AL25" s="98"/>
      <c r="AM25" s="98"/>
      <c r="AN25" s="98"/>
      <c r="AO25" s="99"/>
      <c r="AP25" s="100"/>
      <c r="AQ25" s="98"/>
      <c r="AR25" s="98"/>
      <c r="AS25" s="99"/>
      <c r="AT25" s="98"/>
      <c r="AU25" s="98"/>
      <c r="AV25" s="98"/>
      <c r="AW25" s="99"/>
      <c r="AX25" s="98"/>
      <c r="AY25" s="98"/>
      <c r="AZ25" s="98"/>
      <c r="BA25" s="99"/>
      <c r="BB25" s="98"/>
      <c r="BC25" s="98"/>
      <c r="BD25" s="98"/>
      <c r="BE25" s="99"/>
      <c r="BF25" s="98"/>
      <c r="BG25" s="98"/>
      <c r="BH25" s="98"/>
      <c r="BI25" s="99"/>
      <c r="BJ25" s="98"/>
    </row>
    <row r="26" spans="1:62" ht="15.75" customHeight="1" x14ac:dyDescent="0.2">
      <c r="A26" s="69"/>
      <c r="B26" s="92" t="s">
        <v>39</v>
      </c>
      <c r="C26" s="96"/>
      <c r="D26" s="96"/>
      <c r="E26" s="96"/>
      <c r="F26" s="96"/>
      <c r="G26" s="96"/>
      <c r="H26" s="96"/>
      <c r="I26" s="96"/>
      <c r="J26" s="96"/>
      <c r="K26" s="96" t="s">
        <v>40</v>
      </c>
      <c r="L26" s="97"/>
      <c r="M26" s="96"/>
      <c r="N26" s="96"/>
      <c r="O26" s="96"/>
      <c r="P26" s="97"/>
      <c r="Q26" s="98"/>
      <c r="R26" s="98"/>
      <c r="S26" s="98"/>
      <c r="T26" s="98"/>
      <c r="U26" s="99"/>
      <c r="V26" s="98"/>
      <c r="W26" s="98"/>
      <c r="X26" s="98"/>
      <c r="Y26" s="99"/>
      <c r="Z26" s="98"/>
      <c r="AA26" s="98"/>
      <c r="AB26" s="98"/>
      <c r="AC26" s="99"/>
      <c r="AD26" s="100"/>
      <c r="AE26" s="98"/>
      <c r="AF26" s="98"/>
      <c r="AG26" s="99"/>
      <c r="AH26" s="98"/>
      <c r="AI26" s="98"/>
      <c r="AJ26" s="98"/>
      <c r="AK26" s="99"/>
      <c r="AL26" s="98"/>
      <c r="AM26" s="98"/>
      <c r="AN26" s="98"/>
      <c r="AO26" s="99"/>
      <c r="AP26" s="100"/>
      <c r="AQ26" s="98"/>
      <c r="AR26" s="98"/>
      <c r="AS26" s="99"/>
      <c r="AT26" s="98"/>
      <c r="AU26" s="98"/>
      <c r="AV26" s="98"/>
      <c r="AW26" s="99"/>
      <c r="AX26" s="98"/>
      <c r="AY26" s="98"/>
      <c r="AZ26" s="98"/>
      <c r="BA26" s="99"/>
      <c r="BB26" s="98"/>
      <c r="BC26" s="98"/>
      <c r="BD26" s="98"/>
      <c r="BE26" s="99"/>
      <c r="BF26" s="98"/>
      <c r="BG26" s="98"/>
      <c r="BH26" s="98"/>
      <c r="BI26" s="99"/>
      <c r="BJ26" s="98"/>
    </row>
    <row r="27" spans="1:62" ht="15.75" customHeight="1" x14ac:dyDescent="0.2">
      <c r="A27" s="101"/>
      <c r="B27" s="68" t="s">
        <v>41</v>
      </c>
      <c r="C27" s="102">
        <v>327</v>
      </c>
      <c r="D27" s="103">
        <f>324</f>
        <v>324</v>
      </c>
      <c r="E27" s="103">
        <f>166+1076</f>
        <v>1242</v>
      </c>
      <c r="F27" s="103">
        <f>-330-227</f>
        <v>-557</v>
      </c>
      <c r="G27" s="103">
        <f>758+115-75</f>
        <v>798</v>
      </c>
      <c r="H27" s="103">
        <f>160.73+54+54+327</f>
        <v>595.73</v>
      </c>
      <c r="I27" s="103">
        <f>1110+148</f>
        <v>1258</v>
      </c>
      <c r="J27" s="103">
        <f>1683+70</f>
        <v>1753</v>
      </c>
      <c r="K27" s="103">
        <f>2013+193+268</f>
        <v>2474</v>
      </c>
      <c r="L27" s="104">
        <f>2893+330</f>
        <v>3223</v>
      </c>
      <c r="M27" s="103">
        <f>3422+200</f>
        <v>3622</v>
      </c>
      <c r="N27" s="103">
        <f>3802-1000-83</f>
        <v>2719</v>
      </c>
      <c r="O27" s="103">
        <f>3971+297-1000</f>
        <v>3268</v>
      </c>
      <c r="P27" s="104">
        <f>4671+172-1000</f>
        <v>3843</v>
      </c>
      <c r="Q27" s="105">
        <f t="shared" ref="Q27:BI27" si="20">P27+P7-P47</f>
        <v>4382</v>
      </c>
      <c r="R27" s="105">
        <f t="shared" si="20"/>
        <v>560.55999999999949</v>
      </c>
      <c r="S27" s="105">
        <f t="shared" si="20"/>
        <v>1143.5423999999996</v>
      </c>
      <c r="T27" s="105">
        <f t="shared" si="20"/>
        <v>1749.8440959999996</v>
      </c>
      <c r="U27" s="106">
        <f t="shared" si="20"/>
        <v>2380.3978598399999</v>
      </c>
      <c r="V27" s="105">
        <f t="shared" si="20"/>
        <v>655.77591439360003</v>
      </c>
      <c r="W27" s="105">
        <f t="shared" si="20"/>
        <v>1337.7828653629442</v>
      </c>
      <c r="X27" s="105">
        <f t="shared" si="20"/>
        <v>2047.0700943710622</v>
      </c>
      <c r="Y27" s="106">
        <f t="shared" si="20"/>
        <v>2784.7288125395048</v>
      </c>
      <c r="Z27" s="105">
        <f t="shared" si="20"/>
        <v>767.16506689518019</v>
      </c>
      <c r="AA27" s="105">
        <f t="shared" si="20"/>
        <v>1565.0167364661679</v>
      </c>
      <c r="AB27" s="105">
        <f t="shared" si="20"/>
        <v>2394.7824728199948</v>
      </c>
      <c r="AC27" s="106">
        <f t="shared" si="20"/>
        <v>3257.7388386279749</v>
      </c>
      <c r="AD27" s="107">
        <f t="shared" si="20"/>
        <v>897.47462044029953</v>
      </c>
      <c r="AE27" s="105">
        <f t="shared" si="20"/>
        <v>1947.4746204402995</v>
      </c>
      <c r="AF27" s="105">
        <f t="shared" si="20"/>
        <v>3070.9746204402995</v>
      </c>
      <c r="AG27" s="106">
        <f t="shared" si="20"/>
        <v>4273.1196204402995</v>
      </c>
      <c r="AH27" s="105">
        <f t="shared" si="20"/>
        <v>1286.2951499999999</v>
      </c>
      <c r="AI27" s="105">
        <f t="shared" si="20"/>
        <v>2662.6309605000001</v>
      </c>
      <c r="AJ27" s="105">
        <f t="shared" si="20"/>
        <v>4135.3102777350005</v>
      </c>
      <c r="AK27" s="106">
        <f t="shared" si="20"/>
        <v>5711.077147176451</v>
      </c>
      <c r="AL27" s="105">
        <f t="shared" si="20"/>
        <v>1686.0705503023519</v>
      </c>
      <c r="AM27" s="105">
        <f t="shared" si="20"/>
        <v>3490.1660391258688</v>
      </c>
      <c r="AN27" s="105">
        <f t="shared" si="20"/>
        <v>5420.548212167032</v>
      </c>
      <c r="AO27" s="106">
        <f t="shared" si="20"/>
        <v>7486.0571373210769</v>
      </c>
      <c r="AP27" s="107">
        <f t="shared" si="20"/>
        <v>2210.0945499148293</v>
      </c>
      <c r="AQ27" s="105">
        <f t="shared" si="20"/>
        <v>4574.8957183236953</v>
      </c>
      <c r="AR27" s="105">
        <f t="shared" si="20"/>
        <v>7105.2329685211826</v>
      </c>
      <c r="AS27" s="106">
        <f t="shared" si="20"/>
        <v>9812.6938262324929</v>
      </c>
      <c r="AT27" s="105">
        <f t="shared" si="20"/>
        <v>2896.9831177511023</v>
      </c>
      <c r="AU27" s="105">
        <f t="shared" si="20"/>
        <v>5996.7550537447823</v>
      </c>
      <c r="AV27" s="105">
        <f t="shared" si="20"/>
        <v>9313.5110252580198</v>
      </c>
      <c r="AW27" s="106">
        <f t="shared" si="20"/>
        <v>12862.439914777184</v>
      </c>
      <c r="AX27" s="105">
        <f t="shared" si="20"/>
        <v>3797.3539117855071</v>
      </c>
      <c r="AY27" s="105">
        <f t="shared" si="20"/>
        <v>7860.5225973959987</v>
      </c>
      <c r="AZ27" s="105">
        <f t="shared" si="20"/>
        <v>12208.113090999224</v>
      </c>
      <c r="BA27" s="106">
        <f t="shared" si="20"/>
        <v>16860.034919154677</v>
      </c>
      <c r="BB27" s="105">
        <f t="shared" si="20"/>
        <v>4977.5563561263334</v>
      </c>
      <c r="BC27" s="105">
        <f t="shared" si="20"/>
        <v>10303.541657181511</v>
      </c>
      <c r="BD27" s="105">
        <f t="shared" si="20"/>
        <v>16002.345929310552</v>
      </c>
      <c r="BE27" s="106">
        <f t="shared" si="20"/>
        <v>22100.066500488625</v>
      </c>
      <c r="BF27" s="105">
        <f t="shared" si="20"/>
        <v>6524.561011160542</v>
      </c>
      <c r="BG27" s="105">
        <f t="shared" si="20"/>
        <v>13505.841293102319</v>
      </c>
      <c r="BH27" s="105">
        <f t="shared" si="20"/>
        <v>20975.811194780021</v>
      </c>
      <c r="BI27" s="106">
        <f t="shared" si="20"/>
        <v>28968.678989575164</v>
      </c>
      <c r="BJ27" s="105"/>
    </row>
    <row r="28" spans="1:62" ht="15.75" customHeight="1" x14ac:dyDescent="0.2">
      <c r="A28" s="94"/>
      <c r="B28" s="95" t="s">
        <v>42</v>
      </c>
      <c r="C28" s="102">
        <f>1333*0.75</f>
        <v>999.75</v>
      </c>
      <c r="D28" s="103">
        <f>1333</f>
        <v>1333</v>
      </c>
      <c r="E28" s="103">
        <f>D28-D62+(E$5*$A$46)+(OPEX!$I$28/4)</f>
        <v>1723.7</v>
      </c>
      <c r="F28" s="103">
        <f>448+(2*(OPEX!$I$28/4))</f>
        <v>747</v>
      </c>
      <c r="G28" s="103">
        <f>F28-F62+(G$5*$A$46)+(OPEX!$I$28/4)</f>
        <v>1117.0999999999999</v>
      </c>
      <c r="H28" s="103">
        <f>(1424*1.03)</f>
        <v>1466.72</v>
      </c>
      <c r="I28" s="103">
        <f>(H28-H62)+(H$5*$A$46)+(OPEX!$I$28/4)</f>
        <v>1786.42</v>
      </c>
      <c r="J28" s="103">
        <f>(I28-I62)+(I$5*$A$46)+(OPEX!$I$28/4)</f>
        <v>644.72</v>
      </c>
      <c r="K28" s="103">
        <f>(J28-J62)+(J$5*$A$46)+(OPEX!$I$28/4)</f>
        <v>960.82</v>
      </c>
      <c r="L28" s="104">
        <v>1499</v>
      </c>
      <c r="M28" s="103">
        <f>(L28-L62)+(L$5*$A$46)+(OPEX!$I$28/4)</f>
        <v>1839.9</v>
      </c>
      <c r="N28" s="103">
        <f>(M28-M62)+(M$5*$A$46)+(OPEX!$I$28/4)</f>
        <v>632.90000000000009</v>
      </c>
      <c r="O28" s="103">
        <f>(N28-N62)+(N$5*$A$46)+(OPEX!$I$28/4)</f>
        <v>971.7</v>
      </c>
      <c r="P28" s="104">
        <f>(O28-O62)+(O$5*$A$46)+(OPEX!$I$28/4)</f>
        <v>1280.5</v>
      </c>
      <c r="Q28" s="105">
        <f>(P28-P62)+(P$5*$A$46)+(OPEX!$I$28/4)</f>
        <v>1593.3333333333333</v>
      </c>
      <c r="R28" s="105">
        <f>(Q28-Q62)+(Q$5*$A$46)+(OPEX!$I$28/4)</f>
        <v>319.36666666666667</v>
      </c>
      <c r="S28" s="105">
        <f>(R28-R62)+(R$5*$A$46)+(OPEX!$I$28/4)</f>
        <v>645.52800000000002</v>
      </c>
      <c r="T28" s="105">
        <f>(S28-S62)+(S$5*$A$46)+(OPEX!$I$28/4)</f>
        <v>978.75578666666672</v>
      </c>
      <c r="U28" s="106">
        <f>(T28-T62)+(T$5*$A$46)+(OPEX!$I$28/4)</f>
        <v>1319.3326848000002</v>
      </c>
      <c r="V28" s="105">
        <f>(U28-U62)+(U$5*$A$46)+(OPEX!$I$28/4)</f>
        <v>1667.5526588586667</v>
      </c>
      <c r="W28" s="105">
        <f>(V28-V62)+(V$5*$A$46)+(OPEX!$I$28/4)</f>
        <v>356.16877302101341</v>
      </c>
      <c r="X28" s="105">
        <f>(W28-W62)+(W$5*$A$46)+(OPEX!$I$28/4)</f>
        <v>720.60429696286735</v>
      </c>
      <c r="Y28" s="106">
        <f>(X28-X62)+(X$5*$A$46)+(OPEX!$I$28/4)</f>
        <v>1093.6372418623955</v>
      </c>
      <c r="Z28" s="105">
        <f>(Y28-Y62)+(Y$5*$A$46)+(OPEX!$I$28/4)</f>
        <v>1475.6115045579047</v>
      </c>
      <c r="AA28" s="105">
        <f>(Z28-Z62)+(Z$5*$A$46)+(OPEX!$I$28/4)</f>
        <v>773.24749589883879</v>
      </c>
      <c r="AB28" s="105">
        <f>(AA28-AA62)+(AA$5*$A$46)+(OPEX!$I$28/4)</f>
        <v>1174.1916584303017</v>
      </c>
      <c r="AC28" s="106">
        <f>(AB28-AB62)+(AB$5*$A$46)+(OPEX!$I$28/4)</f>
        <v>1585.1935874630231</v>
      </c>
      <c r="AD28" s="107">
        <f>(AC28-AC62)+(AC$5*$A$46)+(OPEX!$I$28/4)</f>
        <v>2006.6555936570533</v>
      </c>
      <c r="AE28" s="105">
        <f>(AD28-AD62)+(AD$5*$A$46)+(OPEX!$I$28/4)</f>
        <v>889.14382437584845</v>
      </c>
      <c r="AF28" s="105">
        <f>(AE28-AE62)+(AE$5*$A$46)+(OPEX!$I$28/4)</f>
        <v>1379.0983698303939</v>
      </c>
      <c r="AG28" s="106">
        <f>(AF28-AF62)+(AF$5*$A$46)+(OPEX!$I$28/4)</f>
        <v>1892.8847334667576</v>
      </c>
      <c r="AH28" s="105">
        <f>(AG28-AG62)+(AG$5*$A$46)+(OPEX!$I$28/4)</f>
        <v>2432.1711425576668</v>
      </c>
      <c r="AI28" s="105">
        <f>(AH28-AH62)+(AH$5*$A$46)+(OPEX!$I$28/4)</f>
        <v>2998.7426002849397</v>
      </c>
      <c r="AJ28" s="105">
        <f>(AI28-AI62)+(AI$5*$A$46)+(OPEX!$I$28/4)</f>
        <v>1162.3379174954548</v>
      </c>
      <c r="AK28" s="106">
        <f>(AJ28-AJ62)+(AJ$5*$A$46)+(OPEX!$I$28/4)</f>
        <v>1789.3430294474094</v>
      </c>
      <c r="AL28" s="105">
        <f>(AK28-AK62)+(AK$5*$A$46)+(OPEX!$I$28/4)</f>
        <v>2449.773499236001</v>
      </c>
      <c r="AM28" s="105">
        <f>(AL28-AL62)+(AL$5*$A$46)+(OPEX!$I$28/4)</f>
        <v>3145.9691019097941</v>
      </c>
      <c r="AN28" s="105">
        <f>(AM28-AM62)+(AM$5*$A$46)+(OPEX!$I$28/4)</f>
        <v>1430.6598975347515</v>
      </c>
      <c r="AO28" s="106">
        <f>(AN28-AN62)+(AN$5*$A$46)+(OPEX!$I$28/4)</f>
        <v>2206.0716930359772</v>
      </c>
      <c r="AP28" s="107">
        <f>(AO28-AO62)+(AO$5*$A$46)+(OPEX!$I$28/4)</f>
        <v>3025.2973142222891</v>
      </c>
      <c r="AQ28" s="105">
        <f>(AP28-AP62)+(AP$5*$A$46)+(OPEX!$I$28/4)</f>
        <v>3891.4037288916425</v>
      </c>
      <c r="AR28" s="105">
        <f>(AQ28-AQ62)+(AQ$5*$A$46)+(OPEX!$I$28/4)</f>
        <v>1782.3752783655614</v>
      </c>
      <c r="AS28" s="106">
        <f>(AR28-AR62)+(AR$5*$A$46)+(OPEX!$I$28/4)</f>
        <v>2752.3179625205039</v>
      </c>
      <c r="AT28" s="105">
        <f>(AS28-AS62)+(AS$5*$A$46)+(OPEX!$I$28/4)</f>
        <v>3779.6916345662926</v>
      </c>
      <c r="AU28" s="105">
        <f>(AT28-AT62)+(AT$5*$A$46)+(OPEX!$I$28/4)</f>
        <v>4868.5164636552863</v>
      </c>
      <c r="AV28" s="105">
        <f>(AU28-AU62)+(AU$5*$A$46)+(OPEX!$I$28/4)</f>
        <v>6023.0940307805104</v>
      </c>
      <c r="AW28" s="106">
        <f>(AV28-AV62)+(AV$5*$A$46)+(OPEX!$I$28/4)</f>
        <v>7248.0270276044994</v>
      </c>
      <c r="AX28" s="105">
        <f>(AW28-AW62)+(AW$5*$A$46)+(OPEX!$I$28/4)</f>
        <v>8548.240334206168</v>
      </c>
      <c r="AY28" s="105">
        <f>(AX28-AX62)+(AX$5*$A$46)+(OPEX!$I$28/4)</f>
        <v>9929.003572269954</v>
      </c>
      <c r="AZ28" s="105">
        <f>(AY28-AY62)+(AY$5*$A$46)+(OPEX!$I$28/4)</f>
        <v>11395.955236998205</v>
      </c>
      <c r="BA28" s="106">
        <f>(AZ28-AZ62)+(AZ$5*$A$46)+(OPEX!$I$28/4)</f>
        <v>12955.128518257432</v>
      </c>
      <c r="BB28" s="105">
        <f>(BA28-BA62)+(BA$5*$A$46)+(OPEX!$I$28/4)</f>
        <v>14612.978929204806</v>
      </c>
      <c r="BC28" s="105">
        <f>(BB28-BB62)+(BB$5*$A$46)+(OPEX!$I$28/4)</f>
        <v>16376.413868918497</v>
      </c>
      <c r="BD28" s="105">
        <f>(BC28-BC62)+(BC$5*$A$46)+(OPEX!$I$28/4)</f>
        <v>18252.824254412146</v>
      </c>
      <c r="BE28" s="106">
        <f>(BD28-BD62)+(BD$5*$A$46)+(OPEX!$I$28/4)</f>
        <v>20250.11836689035</v>
      </c>
      <c r="BF28" s="105">
        <f>(BE28-BE62)+(BE$5*$A$46)+(OPEX!$I$28/4)</f>
        <v>22376.75806724203</v>
      </c>
      <c r="BG28" s="105">
        <f>(BF28-BF62)+(BF$5*$A$46)+(OPEX!$I$28/4)</f>
        <v>24641.797546618327</v>
      </c>
      <c r="BH28" s="105">
        <f>(BG28-BG62)+(BG$5*$A$46)+(OPEX!$I$28/4)</f>
        <v>27054.924789550965</v>
      </c>
      <c r="BI28" s="106">
        <f>(BH28-BH62)+(BH$5*$A$46)+(OPEX!$I$28/4)</f>
        <v>29626.505939488889</v>
      </c>
      <c r="BJ28" s="105"/>
    </row>
    <row r="29" spans="1:62" ht="15.75" customHeight="1" x14ac:dyDescent="0.2">
      <c r="A29" s="94"/>
      <c r="B29" s="108" t="s">
        <v>43</v>
      </c>
      <c r="C29" s="53"/>
      <c r="D29" s="53"/>
      <c r="E29" s="109"/>
      <c r="F29" s="53"/>
      <c r="G29" s="53"/>
      <c r="H29" s="53"/>
      <c r="I29" s="53"/>
      <c r="J29" s="53"/>
      <c r="K29" s="53"/>
      <c r="L29" s="54"/>
      <c r="M29" s="53"/>
      <c r="N29" s="53"/>
      <c r="O29" s="53"/>
      <c r="P29" s="54"/>
      <c r="Q29" s="57"/>
      <c r="R29" s="57"/>
      <c r="S29" s="57"/>
      <c r="T29" s="57"/>
      <c r="U29" s="58"/>
      <c r="V29" s="57"/>
      <c r="W29" s="57"/>
      <c r="X29" s="57"/>
      <c r="Y29" s="58"/>
      <c r="Z29" s="57"/>
      <c r="AA29" s="57"/>
      <c r="AB29" s="57"/>
      <c r="AC29" s="58"/>
      <c r="AD29" s="59"/>
      <c r="AE29" s="57"/>
      <c r="AF29" s="57"/>
      <c r="AG29" s="58"/>
      <c r="AH29" s="57"/>
      <c r="AI29" s="57"/>
      <c r="AJ29" s="57"/>
      <c r="AK29" s="58"/>
      <c r="AL29" s="57"/>
      <c r="AM29" s="57"/>
      <c r="AN29" s="57"/>
      <c r="AO29" s="58"/>
      <c r="AP29" s="59"/>
      <c r="AQ29" s="57"/>
      <c r="AR29" s="57"/>
      <c r="AS29" s="58"/>
      <c r="AT29" s="57"/>
      <c r="AU29" s="57"/>
      <c r="AV29" s="57"/>
      <c r="AW29" s="58"/>
      <c r="AX29" s="57"/>
      <c r="AY29" s="57"/>
      <c r="AZ29" s="57"/>
      <c r="BA29" s="58"/>
      <c r="BB29" s="57"/>
      <c r="BC29" s="57"/>
      <c r="BD29" s="57"/>
      <c r="BE29" s="58"/>
      <c r="BF29" s="57"/>
      <c r="BG29" s="57"/>
      <c r="BH29" s="57"/>
      <c r="BI29" s="58"/>
      <c r="BJ29" s="57"/>
    </row>
    <row r="30" spans="1:62" ht="15.75" customHeight="1" x14ac:dyDescent="0.2">
      <c r="A30" s="94"/>
      <c r="B30" s="92" t="s">
        <v>44</v>
      </c>
      <c r="C30" s="53"/>
      <c r="D30" s="53"/>
      <c r="E30" s="109"/>
      <c r="F30" s="53"/>
      <c r="G30" s="53"/>
      <c r="H30" s="53"/>
      <c r="I30" s="53"/>
      <c r="J30" s="53"/>
      <c r="K30" s="53"/>
      <c r="L30" s="54"/>
      <c r="M30" s="53"/>
      <c r="N30" s="53"/>
      <c r="O30" s="53"/>
      <c r="P30" s="54"/>
      <c r="Q30" s="57"/>
      <c r="R30" s="57"/>
      <c r="S30" s="57"/>
      <c r="T30" s="57"/>
      <c r="U30" s="58"/>
      <c r="V30" s="57"/>
      <c r="W30" s="57"/>
      <c r="X30" s="57"/>
      <c r="Y30" s="58"/>
      <c r="Z30" s="57"/>
      <c r="AA30" s="57"/>
      <c r="AB30" s="57"/>
      <c r="AC30" s="58"/>
      <c r="AD30" s="59"/>
      <c r="AE30" s="57"/>
      <c r="AF30" s="57"/>
      <c r="AG30" s="58"/>
      <c r="AH30" s="57"/>
      <c r="AI30" s="57"/>
      <c r="AJ30" s="57"/>
      <c r="AK30" s="58"/>
      <c r="AL30" s="57"/>
      <c r="AM30" s="57"/>
      <c r="AN30" s="57"/>
      <c r="AO30" s="58"/>
      <c r="AP30" s="59"/>
      <c r="AQ30" s="57"/>
      <c r="AR30" s="57"/>
      <c r="AS30" s="58"/>
      <c r="AT30" s="57"/>
      <c r="AU30" s="57"/>
      <c r="AV30" s="57"/>
      <c r="AW30" s="58"/>
      <c r="AX30" s="57"/>
      <c r="AY30" s="57"/>
      <c r="AZ30" s="57"/>
      <c r="BA30" s="58"/>
      <c r="BB30" s="57"/>
      <c r="BC30" s="57"/>
      <c r="BD30" s="57"/>
      <c r="BE30" s="58"/>
      <c r="BF30" s="57"/>
      <c r="BG30" s="57"/>
      <c r="BH30" s="57"/>
      <c r="BI30" s="58"/>
      <c r="BJ30" s="57"/>
    </row>
    <row r="31" spans="1:62" ht="15.75" customHeight="1" x14ac:dyDescent="0.2">
      <c r="A31" s="454" t="s">
        <v>45</v>
      </c>
      <c r="B31" s="110" t="s">
        <v>46</v>
      </c>
      <c r="C31" s="53"/>
      <c r="D31" s="53"/>
      <c r="E31" s="53"/>
      <c r="F31" s="53"/>
      <c r="G31" s="53"/>
      <c r="H31" s="53">
        <v>648</v>
      </c>
      <c r="I31" s="53">
        <v>648</v>
      </c>
      <c r="J31" s="53">
        <f>I31-I50</f>
        <v>648</v>
      </c>
      <c r="K31" s="53">
        <v>658</v>
      </c>
      <c r="L31" s="54">
        <f t="shared" ref="L31:M31" si="21">K31-K50</f>
        <v>658</v>
      </c>
      <c r="M31" s="53">
        <f t="shared" si="21"/>
        <v>658</v>
      </c>
      <c r="N31" s="53"/>
      <c r="O31" s="53"/>
      <c r="P31" s="54"/>
      <c r="Q31" s="57"/>
      <c r="R31" s="57"/>
      <c r="S31" s="57"/>
      <c r="T31" s="57"/>
      <c r="U31" s="58"/>
      <c r="V31" s="57"/>
      <c r="W31" s="57"/>
      <c r="X31" s="57">
        <f>W32*1.05</f>
        <v>1890</v>
      </c>
      <c r="Y31" s="58">
        <f t="shared" ref="Y31:BI31" si="22">X31-X50</f>
        <v>1890</v>
      </c>
      <c r="Z31" s="57">
        <f t="shared" si="22"/>
        <v>1890</v>
      </c>
      <c r="AA31" s="57">
        <f t="shared" si="22"/>
        <v>1710</v>
      </c>
      <c r="AB31" s="57">
        <f t="shared" si="22"/>
        <v>1710</v>
      </c>
      <c r="AC31" s="58">
        <f t="shared" si="22"/>
        <v>1710</v>
      </c>
      <c r="AD31" s="59">
        <f t="shared" si="22"/>
        <v>1710</v>
      </c>
      <c r="AE31" s="57">
        <f t="shared" si="22"/>
        <v>1530</v>
      </c>
      <c r="AF31" s="57">
        <f t="shared" si="22"/>
        <v>1530</v>
      </c>
      <c r="AG31" s="58">
        <f t="shared" si="22"/>
        <v>1530</v>
      </c>
      <c r="AH31" s="57">
        <f t="shared" si="22"/>
        <v>1530</v>
      </c>
      <c r="AI31" s="57">
        <f t="shared" si="22"/>
        <v>1350</v>
      </c>
      <c r="AJ31" s="57">
        <f t="shared" si="22"/>
        <v>1350</v>
      </c>
      <c r="AK31" s="58">
        <f t="shared" si="22"/>
        <v>1350</v>
      </c>
      <c r="AL31" s="57">
        <f t="shared" si="22"/>
        <v>1350</v>
      </c>
      <c r="AM31" s="57">
        <f t="shared" si="22"/>
        <v>1170</v>
      </c>
      <c r="AN31" s="57">
        <f t="shared" si="22"/>
        <v>1170</v>
      </c>
      <c r="AO31" s="58">
        <f t="shared" si="22"/>
        <v>1170</v>
      </c>
      <c r="AP31" s="57">
        <f t="shared" si="22"/>
        <v>1170</v>
      </c>
      <c r="AQ31" s="57">
        <f t="shared" si="22"/>
        <v>990</v>
      </c>
      <c r="AR31" s="57">
        <f t="shared" si="22"/>
        <v>990</v>
      </c>
      <c r="AS31" s="58">
        <f t="shared" si="22"/>
        <v>990</v>
      </c>
      <c r="AT31" s="57">
        <f t="shared" si="22"/>
        <v>990</v>
      </c>
      <c r="AU31" s="57">
        <f t="shared" si="22"/>
        <v>810</v>
      </c>
      <c r="AV31" s="57">
        <f t="shared" si="22"/>
        <v>810</v>
      </c>
      <c r="AW31" s="58">
        <f t="shared" si="22"/>
        <v>810</v>
      </c>
      <c r="AX31" s="57">
        <f t="shared" si="22"/>
        <v>810</v>
      </c>
      <c r="AY31" s="57">
        <f t="shared" si="22"/>
        <v>630</v>
      </c>
      <c r="AZ31" s="57">
        <f t="shared" si="22"/>
        <v>630</v>
      </c>
      <c r="BA31" s="58">
        <f t="shared" si="22"/>
        <v>630</v>
      </c>
      <c r="BB31" s="57">
        <f t="shared" si="22"/>
        <v>630</v>
      </c>
      <c r="BC31" s="57">
        <f t="shared" si="22"/>
        <v>450</v>
      </c>
      <c r="BD31" s="57">
        <f t="shared" si="22"/>
        <v>450</v>
      </c>
      <c r="BE31" s="58">
        <f t="shared" si="22"/>
        <v>450</v>
      </c>
      <c r="BF31" s="57">
        <f t="shared" si="22"/>
        <v>450</v>
      </c>
      <c r="BG31" s="57">
        <f t="shared" si="22"/>
        <v>270</v>
      </c>
      <c r="BH31" s="57">
        <f t="shared" si="22"/>
        <v>270</v>
      </c>
      <c r="BI31" s="58">
        <f t="shared" si="22"/>
        <v>270</v>
      </c>
      <c r="BJ31" s="57"/>
    </row>
    <row r="32" spans="1:62" ht="15.75" customHeight="1" x14ac:dyDescent="0.2">
      <c r="A32" s="447"/>
      <c r="B32" s="111" t="s">
        <v>47</v>
      </c>
      <c r="C32" s="53">
        <v>734</v>
      </c>
      <c r="D32" s="53">
        <f t="shared" ref="D32:G32" si="23">C32-D51</f>
        <v>734</v>
      </c>
      <c r="E32" s="53">
        <f t="shared" si="23"/>
        <v>734</v>
      </c>
      <c r="F32" s="53">
        <f t="shared" si="23"/>
        <v>734</v>
      </c>
      <c r="G32" s="53">
        <f t="shared" si="23"/>
        <v>734</v>
      </c>
      <c r="H32" s="53">
        <v>959.32</v>
      </c>
      <c r="I32" s="53">
        <f>H32-H51</f>
        <v>959.32</v>
      </c>
      <c r="J32" s="53">
        <v>812.46</v>
      </c>
      <c r="K32" s="53">
        <f t="shared" ref="K32:L32" si="24">J32-J51</f>
        <v>812.46</v>
      </c>
      <c r="L32" s="54">
        <f t="shared" si="24"/>
        <v>812.46</v>
      </c>
      <c r="M32" s="53">
        <f>812+2162</f>
        <v>2974</v>
      </c>
      <c r="N32" s="53">
        <f t="shared" ref="N32:W32" si="25">M32-M51</f>
        <v>2364</v>
      </c>
      <c r="O32" s="53">
        <f t="shared" si="25"/>
        <v>2364</v>
      </c>
      <c r="P32" s="54">
        <f t="shared" si="25"/>
        <v>2364</v>
      </c>
      <c r="Q32" s="57">
        <f t="shared" si="25"/>
        <v>2364</v>
      </c>
      <c r="R32" s="57">
        <f t="shared" si="25"/>
        <v>1946</v>
      </c>
      <c r="S32" s="57">
        <f t="shared" si="25"/>
        <v>1946</v>
      </c>
      <c r="T32" s="57">
        <f t="shared" si="25"/>
        <v>1946</v>
      </c>
      <c r="U32" s="58">
        <f t="shared" si="25"/>
        <v>1946</v>
      </c>
      <c r="V32" s="57">
        <f t="shared" si="25"/>
        <v>1946</v>
      </c>
      <c r="W32" s="57">
        <f t="shared" si="25"/>
        <v>1800</v>
      </c>
      <c r="X32" s="57">
        <v>0</v>
      </c>
      <c r="Y32" s="58">
        <f t="shared" ref="Y32:BI32" si="26">X32-X51</f>
        <v>0</v>
      </c>
      <c r="Z32" s="57">
        <f t="shared" si="26"/>
        <v>0</v>
      </c>
      <c r="AA32" s="57">
        <f t="shared" si="26"/>
        <v>0</v>
      </c>
      <c r="AB32" s="57">
        <f t="shared" si="26"/>
        <v>0</v>
      </c>
      <c r="AC32" s="58">
        <f t="shared" si="26"/>
        <v>0</v>
      </c>
      <c r="AD32" s="59">
        <f t="shared" si="26"/>
        <v>0</v>
      </c>
      <c r="AE32" s="57">
        <f t="shared" si="26"/>
        <v>0</v>
      </c>
      <c r="AF32" s="57">
        <f t="shared" si="26"/>
        <v>0</v>
      </c>
      <c r="AG32" s="58">
        <f t="shared" si="26"/>
        <v>0</v>
      </c>
      <c r="AH32" s="57">
        <f t="shared" si="26"/>
        <v>0</v>
      </c>
      <c r="AI32" s="57">
        <f t="shared" si="26"/>
        <v>0</v>
      </c>
      <c r="AJ32" s="57">
        <f t="shared" si="26"/>
        <v>0</v>
      </c>
      <c r="AK32" s="58">
        <f t="shared" si="26"/>
        <v>0</v>
      </c>
      <c r="AL32" s="57">
        <f t="shared" si="26"/>
        <v>0</v>
      </c>
      <c r="AM32" s="57">
        <f t="shared" si="26"/>
        <v>0</v>
      </c>
      <c r="AN32" s="57">
        <f t="shared" si="26"/>
        <v>0</v>
      </c>
      <c r="AO32" s="58">
        <f t="shared" si="26"/>
        <v>0</v>
      </c>
      <c r="AP32" s="59">
        <f t="shared" si="26"/>
        <v>0</v>
      </c>
      <c r="AQ32" s="57">
        <f t="shared" si="26"/>
        <v>0</v>
      </c>
      <c r="AR32" s="57">
        <f t="shared" si="26"/>
        <v>0</v>
      </c>
      <c r="AS32" s="58">
        <f t="shared" si="26"/>
        <v>0</v>
      </c>
      <c r="AT32" s="57">
        <f t="shared" si="26"/>
        <v>0</v>
      </c>
      <c r="AU32" s="57">
        <f t="shared" si="26"/>
        <v>0</v>
      </c>
      <c r="AV32" s="57">
        <f t="shared" si="26"/>
        <v>0</v>
      </c>
      <c r="AW32" s="58">
        <f t="shared" si="26"/>
        <v>0</v>
      </c>
      <c r="AX32" s="57">
        <f t="shared" si="26"/>
        <v>0</v>
      </c>
      <c r="AY32" s="57">
        <f t="shared" si="26"/>
        <v>0</v>
      </c>
      <c r="AZ32" s="57">
        <f t="shared" si="26"/>
        <v>0</v>
      </c>
      <c r="BA32" s="58">
        <f t="shared" si="26"/>
        <v>0</v>
      </c>
      <c r="BB32" s="57">
        <f t="shared" si="26"/>
        <v>0</v>
      </c>
      <c r="BC32" s="57">
        <f t="shared" si="26"/>
        <v>0</v>
      </c>
      <c r="BD32" s="57">
        <f t="shared" si="26"/>
        <v>0</v>
      </c>
      <c r="BE32" s="58">
        <f t="shared" si="26"/>
        <v>0</v>
      </c>
      <c r="BF32" s="57">
        <f t="shared" si="26"/>
        <v>0</v>
      </c>
      <c r="BG32" s="57">
        <f t="shared" si="26"/>
        <v>0</v>
      </c>
      <c r="BH32" s="57">
        <f t="shared" si="26"/>
        <v>0</v>
      </c>
      <c r="BI32" s="58">
        <f t="shared" si="26"/>
        <v>0</v>
      </c>
      <c r="BJ32" s="57"/>
    </row>
    <row r="33" spans="1:62" ht="15.75" customHeight="1" x14ac:dyDescent="0.2">
      <c r="A33" s="94"/>
      <c r="B33" s="95" t="s">
        <v>48</v>
      </c>
      <c r="C33" s="53">
        <v>17173</v>
      </c>
      <c r="D33" s="53">
        <f t="shared" ref="D33:G33" si="27">C33-D52</f>
        <v>17000</v>
      </c>
      <c r="E33" s="53">
        <f t="shared" si="27"/>
        <v>17000</v>
      </c>
      <c r="F33" s="53">
        <f t="shared" si="27"/>
        <v>17000</v>
      </c>
      <c r="G33" s="53">
        <f t="shared" si="27"/>
        <v>17000</v>
      </c>
      <c r="H33" s="53">
        <v>16831</v>
      </c>
      <c r="I33" s="53">
        <f t="shared" ref="I33:L33" si="28">H33-I52</f>
        <v>16831</v>
      </c>
      <c r="J33" s="53">
        <f t="shared" si="28"/>
        <v>16831</v>
      </c>
      <c r="K33" s="53">
        <f t="shared" si="28"/>
        <v>16831</v>
      </c>
      <c r="L33" s="54">
        <f t="shared" si="28"/>
        <v>16658</v>
      </c>
      <c r="M33" s="53">
        <v>16809</v>
      </c>
      <c r="N33" s="53">
        <f t="shared" ref="N33:BI33" si="29">M33-N52</f>
        <v>16809</v>
      </c>
      <c r="O33" s="53">
        <f t="shared" si="29"/>
        <v>16809</v>
      </c>
      <c r="P33" s="54">
        <f t="shared" si="29"/>
        <v>16809</v>
      </c>
      <c r="Q33" s="57">
        <f t="shared" si="29"/>
        <v>16642</v>
      </c>
      <c r="R33" s="57">
        <f t="shared" si="29"/>
        <v>16642</v>
      </c>
      <c r="S33" s="57">
        <f t="shared" si="29"/>
        <v>16642</v>
      </c>
      <c r="T33" s="57">
        <f t="shared" si="29"/>
        <v>16642</v>
      </c>
      <c r="U33" s="58">
        <f t="shared" si="29"/>
        <v>16469</v>
      </c>
      <c r="V33" s="57">
        <f t="shared" si="29"/>
        <v>16469</v>
      </c>
      <c r="W33" s="57">
        <f t="shared" si="29"/>
        <v>16469</v>
      </c>
      <c r="X33" s="57">
        <f t="shared" si="29"/>
        <v>16469</v>
      </c>
      <c r="Y33" s="58">
        <f t="shared" si="29"/>
        <v>16296</v>
      </c>
      <c r="Z33" s="57">
        <f t="shared" si="29"/>
        <v>16296</v>
      </c>
      <c r="AA33" s="57">
        <f t="shared" si="29"/>
        <v>16296</v>
      </c>
      <c r="AB33" s="57">
        <f t="shared" si="29"/>
        <v>16296</v>
      </c>
      <c r="AC33" s="58">
        <f t="shared" si="29"/>
        <v>16123</v>
      </c>
      <c r="AD33" s="59">
        <f t="shared" si="29"/>
        <v>16123</v>
      </c>
      <c r="AE33" s="57">
        <f t="shared" si="29"/>
        <v>16123</v>
      </c>
      <c r="AF33" s="57">
        <f t="shared" si="29"/>
        <v>16123</v>
      </c>
      <c r="AG33" s="58">
        <f t="shared" si="29"/>
        <v>15948</v>
      </c>
      <c r="AH33" s="57">
        <f t="shared" si="29"/>
        <v>15773</v>
      </c>
      <c r="AI33" s="57">
        <f t="shared" si="29"/>
        <v>15598</v>
      </c>
      <c r="AJ33" s="57">
        <f t="shared" si="29"/>
        <v>15423</v>
      </c>
      <c r="AK33" s="58">
        <f t="shared" si="29"/>
        <v>15248</v>
      </c>
      <c r="AL33" s="57">
        <f t="shared" si="29"/>
        <v>15073</v>
      </c>
      <c r="AM33" s="57">
        <f t="shared" si="29"/>
        <v>14898</v>
      </c>
      <c r="AN33" s="57">
        <f t="shared" si="29"/>
        <v>14723</v>
      </c>
      <c r="AO33" s="58">
        <f t="shared" si="29"/>
        <v>14548</v>
      </c>
      <c r="AP33" s="59">
        <f t="shared" si="29"/>
        <v>14373</v>
      </c>
      <c r="AQ33" s="57">
        <f t="shared" si="29"/>
        <v>14198</v>
      </c>
      <c r="AR33" s="57">
        <f t="shared" si="29"/>
        <v>14023</v>
      </c>
      <c r="AS33" s="58">
        <f t="shared" si="29"/>
        <v>13848</v>
      </c>
      <c r="AT33" s="57">
        <f t="shared" si="29"/>
        <v>13673</v>
      </c>
      <c r="AU33" s="57">
        <f t="shared" si="29"/>
        <v>13498</v>
      </c>
      <c r="AV33" s="57">
        <f t="shared" si="29"/>
        <v>13323</v>
      </c>
      <c r="AW33" s="58">
        <f t="shared" si="29"/>
        <v>13148</v>
      </c>
      <c r="AX33" s="57">
        <f t="shared" si="29"/>
        <v>12973</v>
      </c>
      <c r="AY33" s="57">
        <f t="shared" si="29"/>
        <v>12798</v>
      </c>
      <c r="AZ33" s="57">
        <f t="shared" si="29"/>
        <v>12623</v>
      </c>
      <c r="BA33" s="58">
        <f t="shared" si="29"/>
        <v>12448</v>
      </c>
      <c r="BB33" s="57">
        <f t="shared" si="29"/>
        <v>12273</v>
      </c>
      <c r="BC33" s="57">
        <f t="shared" si="29"/>
        <v>12098</v>
      </c>
      <c r="BD33" s="57">
        <f t="shared" si="29"/>
        <v>11923</v>
      </c>
      <c r="BE33" s="58">
        <f t="shared" si="29"/>
        <v>11748</v>
      </c>
      <c r="BF33" s="57">
        <f t="shared" si="29"/>
        <v>11573</v>
      </c>
      <c r="BG33" s="57">
        <f t="shared" si="29"/>
        <v>11398</v>
      </c>
      <c r="BH33" s="57">
        <f t="shared" si="29"/>
        <v>11223</v>
      </c>
      <c r="BI33" s="58">
        <f t="shared" si="29"/>
        <v>11048</v>
      </c>
      <c r="BJ33" s="57"/>
    </row>
    <row r="34" spans="1:62" ht="15.75" customHeight="1" x14ac:dyDescent="0.2">
      <c r="A34" s="94"/>
      <c r="B34" s="95" t="s">
        <v>1</v>
      </c>
      <c r="C34" s="102">
        <v>18080</v>
      </c>
      <c r="D34" s="53">
        <f t="shared" ref="D34:E34" si="30">C34-D53</f>
        <v>17886.86</v>
      </c>
      <c r="E34" s="53">
        <f t="shared" si="30"/>
        <v>17742.14</v>
      </c>
      <c r="F34" s="102">
        <v>17623</v>
      </c>
      <c r="G34" s="102">
        <f>17563-9.3</f>
        <v>17553.7</v>
      </c>
      <c r="H34" s="102">
        <v>17440</v>
      </c>
      <c r="I34" s="102">
        <v>17354</v>
      </c>
      <c r="J34" s="102">
        <v>17284</v>
      </c>
      <c r="K34" s="102">
        <f t="shared" ref="K34:L34" si="31">J34-J53</f>
        <v>17184.04</v>
      </c>
      <c r="L34" s="112">
        <f t="shared" si="31"/>
        <v>17094.100000000002</v>
      </c>
      <c r="M34" s="102">
        <v>16984</v>
      </c>
      <c r="N34" s="102">
        <v>16901</v>
      </c>
      <c r="O34" s="102">
        <f>N34-N53</f>
        <v>16787.419999999998</v>
      </c>
      <c r="P34" s="112">
        <v>16651</v>
      </c>
      <c r="Q34" s="113">
        <f t="shared" ref="Q34:BI34" si="32">P34-P53</f>
        <v>16553</v>
      </c>
      <c r="R34" s="113">
        <f t="shared" si="32"/>
        <v>16451.080000000002</v>
      </c>
      <c r="S34" s="113">
        <f t="shared" si="32"/>
        <v>16345.083200000001</v>
      </c>
      <c r="T34" s="113">
        <f t="shared" si="32"/>
        <v>16234.846528000002</v>
      </c>
      <c r="U34" s="114">
        <f t="shared" si="32"/>
        <v>16120.200389120002</v>
      </c>
      <c r="V34" s="113">
        <f t="shared" si="32"/>
        <v>16000.968404684801</v>
      </c>
      <c r="W34" s="113">
        <f t="shared" si="32"/>
        <v>15876.967140872193</v>
      </c>
      <c r="X34" s="113">
        <f t="shared" si="32"/>
        <v>15748.00582650708</v>
      </c>
      <c r="Y34" s="114">
        <f t="shared" si="32"/>
        <v>15613.886059567363</v>
      </c>
      <c r="Z34" s="113">
        <f t="shared" si="32"/>
        <v>12762.880233060283</v>
      </c>
      <c r="AA34" s="113">
        <f t="shared" si="32"/>
        <v>12617.816293138285</v>
      </c>
      <c r="AB34" s="113">
        <f t="shared" si="32"/>
        <v>12466.949795619406</v>
      </c>
      <c r="AC34" s="114">
        <f t="shared" si="32"/>
        <v>12310.048638199774</v>
      </c>
      <c r="AD34" s="115">
        <f t="shared" si="32"/>
        <v>12146.871434483357</v>
      </c>
      <c r="AE34" s="113">
        <f t="shared" si="32"/>
        <v>11955.962343574267</v>
      </c>
      <c r="AF34" s="113">
        <f t="shared" si="32"/>
        <v>11751.689616301539</v>
      </c>
      <c r="AG34" s="114">
        <f t="shared" si="32"/>
        <v>11533.117798119722</v>
      </c>
      <c r="AH34" s="113">
        <f t="shared" si="32"/>
        <v>11299.245952665176</v>
      </c>
      <c r="AI34" s="113">
        <f t="shared" si="32"/>
        <v>11049.003078028813</v>
      </c>
      <c r="AJ34" s="113">
        <f t="shared" si="32"/>
        <v>10781.243202167903</v>
      </c>
      <c r="AK34" s="114">
        <f t="shared" si="32"/>
        <v>10494.740134996731</v>
      </c>
      <c r="AL34" s="113">
        <f t="shared" si="32"/>
        <v>10188.181853123577</v>
      </c>
      <c r="AM34" s="113">
        <f t="shared" si="32"/>
        <v>9860.164491519301</v>
      </c>
      <c r="AN34" s="113">
        <f t="shared" si="32"/>
        <v>9509.1859146027255</v>
      </c>
      <c r="AO34" s="114">
        <f t="shared" si="32"/>
        <v>9133.6388373019909</v>
      </c>
      <c r="AP34" s="115">
        <f t="shared" si="32"/>
        <v>8731.8034645902044</v>
      </c>
      <c r="AQ34" s="113">
        <f t="shared" si="32"/>
        <v>8301.8396157885927</v>
      </c>
      <c r="AR34" s="113">
        <f t="shared" si="32"/>
        <v>7841.7782975708678</v>
      </c>
      <c r="AS34" s="114">
        <f t="shared" si="32"/>
        <v>7349.5126870779022</v>
      </c>
      <c r="AT34" s="113">
        <f t="shared" si="32"/>
        <v>6822.7884838504287</v>
      </c>
      <c r="AU34" s="113">
        <f t="shared" si="32"/>
        <v>6259.193586397032</v>
      </c>
      <c r="AV34" s="113">
        <f t="shared" si="32"/>
        <v>5656.1470461218978</v>
      </c>
      <c r="AW34" s="114">
        <f t="shared" si="32"/>
        <v>5010.887248027504</v>
      </c>
      <c r="AX34" s="113">
        <f t="shared" si="32"/>
        <v>4320.4592640665032</v>
      </c>
      <c r="AY34" s="113">
        <f t="shared" si="32"/>
        <v>3581.7013212282318</v>
      </c>
      <c r="AZ34" s="113">
        <f t="shared" si="32"/>
        <v>2791.2303223912813</v>
      </c>
      <c r="BA34" s="114">
        <f t="shared" si="32"/>
        <v>1945.4263536357446</v>
      </c>
      <c r="BB34" s="113">
        <f t="shared" si="32"/>
        <v>1040.4161070673204</v>
      </c>
      <c r="BC34" s="113">
        <f t="shared" si="32"/>
        <v>72.055143239106201</v>
      </c>
      <c r="BD34" s="113">
        <f t="shared" si="32"/>
        <v>-964.0910880570832</v>
      </c>
      <c r="BE34" s="114">
        <f t="shared" si="32"/>
        <v>-2072.7675555440055</v>
      </c>
      <c r="BF34" s="113">
        <f t="shared" si="32"/>
        <v>-3259.0513757550125</v>
      </c>
      <c r="BG34" s="113">
        <f t="shared" si="32"/>
        <v>-4528.3750633807904</v>
      </c>
      <c r="BH34" s="113">
        <f t="shared" si="32"/>
        <v>-5886.5514091403729</v>
      </c>
      <c r="BI34" s="114">
        <f t="shared" si="32"/>
        <v>-7339.8000991031258</v>
      </c>
      <c r="BJ34" s="113"/>
    </row>
    <row r="35" spans="1:62" ht="15.75" customHeight="1" x14ac:dyDescent="0.2">
      <c r="A35" s="94"/>
      <c r="B35" s="95" t="s">
        <v>49</v>
      </c>
      <c r="C35" s="53">
        <v>20000</v>
      </c>
      <c r="D35" s="53">
        <f t="shared" ref="D35:BI35" si="33">C35-C54</f>
        <v>20000</v>
      </c>
      <c r="E35" s="53">
        <f t="shared" si="33"/>
        <v>20000</v>
      </c>
      <c r="F35" s="53">
        <f t="shared" si="33"/>
        <v>20000</v>
      </c>
      <c r="G35" s="53">
        <f t="shared" si="33"/>
        <v>20000</v>
      </c>
      <c r="H35" s="53">
        <f t="shared" si="33"/>
        <v>20000</v>
      </c>
      <c r="I35" s="53">
        <f t="shared" si="33"/>
        <v>20000</v>
      </c>
      <c r="J35" s="53">
        <f t="shared" si="33"/>
        <v>20000</v>
      </c>
      <c r="K35" s="53">
        <f t="shared" si="33"/>
        <v>20000</v>
      </c>
      <c r="L35" s="54">
        <f t="shared" si="33"/>
        <v>20000</v>
      </c>
      <c r="M35" s="53">
        <f t="shared" si="33"/>
        <v>20000</v>
      </c>
      <c r="N35" s="53">
        <f t="shared" si="33"/>
        <v>20000</v>
      </c>
      <c r="O35" s="53">
        <f t="shared" si="33"/>
        <v>20000</v>
      </c>
      <c r="P35" s="54">
        <f t="shared" si="33"/>
        <v>20000</v>
      </c>
      <c r="Q35" s="57">
        <f t="shared" si="33"/>
        <v>20000</v>
      </c>
      <c r="R35" s="57">
        <f t="shared" si="33"/>
        <v>20000</v>
      </c>
      <c r="S35" s="57">
        <f t="shared" si="33"/>
        <v>20000</v>
      </c>
      <c r="T35" s="57">
        <f t="shared" si="33"/>
        <v>20000</v>
      </c>
      <c r="U35" s="58">
        <f t="shared" si="33"/>
        <v>20000</v>
      </c>
      <c r="V35" s="57">
        <f t="shared" si="33"/>
        <v>20000</v>
      </c>
      <c r="W35" s="57">
        <f t="shared" si="33"/>
        <v>20000</v>
      </c>
      <c r="X35" s="57">
        <f t="shared" si="33"/>
        <v>20000</v>
      </c>
      <c r="Y35" s="58">
        <f t="shared" si="33"/>
        <v>20000</v>
      </c>
      <c r="Z35" s="57">
        <f t="shared" si="33"/>
        <v>20000</v>
      </c>
      <c r="AA35" s="57">
        <f t="shared" si="33"/>
        <v>20000</v>
      </c>
      <c r="AB35" s="57">
        <f t="shared" si="33"/>
        <v>20000</v>
      </c>
      <c r="AC35" s="58">
        <f t="shared" si="33"/>
        <v>20000</v>
      </c>
      <c r="AD35" s="59">
        <f t="shared" si="33"/>
        <v>20000</v>
      </c>
      <c r="AE35" s="57">
        <f t="shared" si="33"/>
        <v>20000</v>
      </c>
      <c r="AF35" s="57">
        <f t="shared" si="33"/>
        <v>20000</v>
      </c>
      <c r="AG35" s="58">
        <f t="shared" si="33"/>
        <v>20000</v>
      </c>
      <c r="AH35" s="57">
        <f t="shared" si="33"/>
        <v>20000</v>
      </c>
      <c r="AI35" s="57">
        <f t="shared" si="33"/>
        <v>20000</v>
      </c>
      <c r="AJ35" s="57">
        <f t="shared" si="33"/>
        <v>20000</v>
      </c>
      <c r="AK35" s="58">
        <f t="shared" si="33"/>
        <v>20000</v>
      </c>
      <c r="AL35" s="57">
        <f t="shared" si="33"/>
        <v>20000</v>
      </c>
      <c r="AM35" s="57">
        <f t="shared" si="33"/>
        <v>20000</v>
      </c>
      <c r="AN35" s="57">
        <f t="shared" si="33"/>
        <v>20000</v>
      </c>
      <c r="AO35" s="58">
        <f t="shared" si="33"/>
        <v>20000</v>
      </c>
      <c r="AP35" s="59">
        <f t="shared" si="33"/>
        <v>20000</v>
      </c>
      <c r="AQ35" s="57">
        <f t="shared" si="33"/>
        <v>20000</v>
      </c>
      <c r="AR35" s="57">
        <f t="shared" si="33"/>
        <v>20000</v>
      </c>
      <c r="AS35" s="58">
        <f t="shared" si="33"/>
        <v>20000</v>
      </c>
      <c r="AT35" s="57">
        <f t="shared" si="33"/>
        <v>20000</v>
      </c>
      <c r="AU35" s="57">
        <f t="shared" si="33"/>
        <v>20000</v>
      </c>
      <c r="AV35" s="57">
        <f t="shared" si="33"/>
        <v>20000</v>
      </c>
      <c r="AW35" s="58">
        <f t="shared" si="33"/>
        <v>20000</v>
      </c>
      <c r="AX35" s="57">
        <f t="shared" si="33"/>
        <v>20000</v>
      </c>
      <c r="AY35" s="57">
        <f t="shared" si="33"/>
        <v>20000</v>
      </c>
      <c r="AZ35" s="57">
        <f t="shared" si="33"/>
        <v>20000</v>
      </c>
      <c r="BA35" s="58">
        <f t="shared" si="33"/>
        <v>20000</v>
      </c>
      <c r="BB35" s="57">
        <f t="shared" si="33"/>
        <v>20000</v>
      </c>
      <c r="BC35" s="57">
        <f t="shared" si="33"/>
        <v>20000</v>
      </c>
      <c r="BD35" s="57">
        <f t="shared" si="33"/>
        <v>20000</v>
      </c>
      <c r="BE35" s="58">
        <f t="shared" si="33"/>
        <v>20000</v>
      </c>
      <c r="BF35" s="57">
        <f t="shared" si="33"/>
        <v>20000</v>
      </c>
      <c r="BG35" s="57">
        <f t="shared" si="33"/>
        <v>20000</v>
      </c>
      <c r="BH35" s="57">
        <f t="shared" si="33"/>
        <v>20000</v>
      </c>
      <c r="BI35" s="58">
        <f t="shared" si="33"/>
        <v>20000</v>
      </c>
      <c r="BJ35" s="57"/>
    </row>
    <row r="36" spans="1:62" ht="15.75" customHeight="1" x14ac:dyDescent="0.2">
      <c r="A36" s="94"/>
      <c r="B36" s="95"/>
      <c r="C36" s="46"/>
      <c r="D36" s="46"/>
      <c r="E36" s="46"/>
      <c r="F36" s="46"/>
      <c r="G36" s="46"/>
      <c r="H36" s="46"/>
      <c r="I36" s="46"/>
      <c r="J36" s="46"/>
      <c r="K36" s="46"/>
      <c r="L36" s="47"/>
      <c r="M36" s="46"/>
      <c r="N36" s="46"/>
      <c r="O36" s="46"/>
      <c r="P36" s="47"/>
      <c r="Q36" s="49"/>
      <c r="R36" s="49"/>
      <c r="S36" s="49"/>
      <c r="T36" s="49"/>
      <c r="U36" s="50"/>
      <c r="V36" s="49"/>
      <c r="W36" s="49"/>
      <c r="X36" s="49"/>
      <c r="Y36" s="50"/>
      <c r="Z36" s="49"/>
      <c r="AA36" s="49"/>
      <c r="AB36" s="49"/>
      <c r="AC36" s="50"/>
      <c r="AD36" s="51"/>
      <c r="AE36" s="49"/>
      <c r="AF36" s="49"/>
      <c r="AG36" s="50"/>
      <c r="AH36" s="49"/>
      <c r="AI36" s="49"/>
      <c r="AJ36" s="49"/>
      <c r="AK36" s="50"/>
      <c r="AL36" s="49"/>
      <c r="AM36" s="49"/>
      <c r="AN36" s="49"/>
      <c r="AO36" s="50"/>
      <c r="AP36" s="51"/>
      <c r="AQ36" s="49"/>
      <c r="AR36" s="49"/>
      <c r="AS36" s="50"/>
      <c r="AT36" s="49"/>
      <c r="AU36" s="49"/>
      <c r="AV36" s="49"/>
      <c r="AW36" s="50"/>
      <c r="AX36" s="49"/>
      <c r="AY36" s="49"/>
      <c r="AZ36" s="49"/>
      <c r="BA36" s="50"/>
      <c r="BB36" s="49"/>
      <c r="BC36" s="49"/>
      <c r="BD36" s="49"/>
      <c r="BE36" s="50"/>
      <c r="BF36" s="49"/>
      <c r="BG36" s="49"/>
      <c r="BH36" s="49"/>
      <c r="BI36" s="50"/>
      <c r="BJ36" s="49"/>
    </row>
    <row r="37" spans="1:62" ht="15.75" customHeight="1" x14ac:dyDescent="0.2">
      <c r="A37" s="69"/>
      <c r="B37" s="92" t="s">
        <v>50</v>
      </c>
      <c r="C37" s="24">
        <f t="shared" ref="C37:BI37" si="34">SUM(C27:C36)</f>
        <v>57313.75</v>
      </c>
      <c r="D37" s="24">
        <f t="shared" si="34"/>
        <v>57277.86</v>
      </c>
      <c r="E37" s="24">
        <f t="shared" si="34"/>
        <v>58441.84</v>
      </c>
      <c r="F37" s="24">
        <f t="shared" si="34"/>
        <v>55547</v>
      </c>
      <c r="G37" s="24">
        <f t="shared" si="34"/>
        <v>57202.8</v>
      </c>
      <c r="H37" s="24">
        <f t="shared" si="34"/>
        <v>57940.770000000004</v>
      </c>
      <c r="I37" s="24">
        <f t="shared" si="34"/>
        <v>58836.74</v>
      </c>
      <c r="J37" s="24">
        <f t="shared" si="34"/>
        <v>57973.18</v>
      </c>
      <c r="K37" s="24">
        <f t="shared" si="34"/>
        <v>58920.32</v>
      </c>
      <c r="L37" s="25">
        <f t="shared" si="34"/>
        <v>59944.56</v>
      </c>
      <c r="M37" s="24">
        <f t="shared" si="34"/>
        <v>62886.9</v>
      </c>
      <c r="N37" s="24">
        <f t="shared" si="34"/>
        <v>59425.9</v>
      </c>
      <c r="O37" s="24">
        <f t="shared" si="34"/>
        <v>60200.119999999995</v>
      </c>
      <c r="P37" s="25">
        <f t="shared" si="34"/>
        <v>60947.5</v>
      </c>
      <c r="Q37" s="26">
        <f t="shared" si="34"/>
        <v>61534.333333333328</v>
      </c>
      <c r="R37" s="26">
        <f t="shared" si="34"/>
        <v>55919.006666666668</v>
      </c>
      <c r="S37" s="26">
        <f t="shared" si="34"/>
        <v>56722.153600000005</v>
      </c>
      <c r="T37" s="26">
        <f t="shared" si="34"/>
        <v>57551.446410666671</v>
      </c>
      <c r="U37" s="27">
        <f t="shared" si="34"/>
        <v>58234.930933759999</v>
      </c>
      <c r="V37" s="26">
        <f t="shared" si="34"/>
        <v>56739.296977937069</v>
      </c>
      <c r="W37" s="26">
        <f t="shared" si="34"/>
        <v>55839.91877925615</v>
      </c>
      <c r="X37" s="26">
        <f t="shared" si="34"/>
        <v>56874.680217841014</v>
      </c>
      <c r="Y37" s="27">
        <f t="shared" si="34"/>
        <v>57678.252113969262</v>
      </c>
      <c r="Z37" s="26">
        <f t="shared" si="34"/>
        <v>53191.656804513368</v>
      </c>
      <c r="AA37" s="26">
        <f t="shared" si="34"/>
        <v>52962.08052550329</v>
      </c>
      <c r="AB37" s="26">
        <f t="shared" si="34"/>
        <v>54041.923926869698</v>
      </c>
      <c r="AC37" s="27">
        <f t="shared" si="34"/>
        <v>54985.981064290776</v>
      </c>
      <c r="AD37" s="28">
        <f t="shared" si="34"/>
        <v>52884.001648580714</v>
      </c>
      <c r="AE37" s="26">
        <f t="shared" si="34"/>
        <v>52445.580788390413</v>
      </c>
      <c r="AF37" s="26">
        <f t="shared" si="34"/>
        <v>53854.762606572236</v>
      </c>
      <c r="AG37" s="27">
        <f t="shared" si="34"/>
        <v>55177.122152026779</v>
      </c>
      <c r="AH37" s="26">
        <f t="shared" si="34"/>
        <v>52320.712245222843</v>
      </c>
      <c r="AI37" s="26">
        <f t="shared" si="34"/>
        <v>53658.376638813752</v>
      </c>
      <c r="AJ37" s="26">
        <f t="shared" si="34"/>
        <v>52851.891397398358</v>
      </c>
      <c r="AK37" s="27">
        <f t="shared" si="34"/>
        <v>54593.160311620595</v>
      </c>
      <c r="AL37" s="26">
        <f t="shared" si="34"/>
        <v>50747.025902661931</v>
      </c>
      <c r="AM37" s="26">
        <f t="shared" si="34"/>
        <v>52564.299632554961</v>
      </c>
      <c r="AN37" s="26">
        <f t="shared" si="34"/>
        <v>52253.394024304507</v>
      </c>
      <c r="AO37" s="27">
        <f t="shared" si="34"/>
        <v>54543.767667659049</v>
      </c>
      <c r="AP37" s="28">
        <f t="shared" si="34"/>
        <v>49510.195328727321</v>
      </c>
      <c r="AQ37" s="26">
        <f t="shared" si="34"/>
        <v>51956.139063003931</v>
      </c>
      <c r="AR37" s="26">
        <f t="shared" si="34"/>
        <v>51742.386544457615</v>
      </c>
      <c r="AS37" s="27">
        <f t="shared" si="34"/>
        <v>54752.524475830898</v>
      </c>
      <c r="AT37" s="26">
        <f t="shared" si="34"/>
        <v>48162.463236167823</v>
      </c>
      <c r="AU37" s="26">
        <f t="shared" si="34"/>
        <v>51432.465103797105</v>
      </c>
      <c r="AV37" s="26">
        <f t="shared" si="34"/>
        <v>55125.752102160426</v>
      </c>
      <c r="AW37" s="27">
        <f t="shared" si="34"/>
        <v>59079.354190409184</v>
      </c>
      <c r="AX37" s="26">
        <f t="shared" si="34"/>
        <v>50449.053510058176</v>
      </c>
      <c r="AY37" s="26">
        <f t="shared" si="34"/>
        <v>54799.227490894184</v>
      </c>
      <c r="AZ37" s="26">
        <f t="shared" si="34"/>
        <v>59648.298650388715</v>
      </c>
      <c r="BA37" s="27">
        <f t="shared" si="34"/>
        <v>64838.589791047852</v>
      </c>
      <c r="BB37" s="26">
        <f t="shared" si="34"/>
        <v>53533.951392398463</v>
      </c>
      <c r="BC37" s="26">
        <f t="shared" si="34"/>
        <v>59300.010669339114</v>
      </c>
      <c r="BD37" s="26">
        <f t="shared" si="34"/>
        <v>65664.079095665627</v>
      </c>
      <c r="BE37" s="27">
        <f t="shared" si="34"/>
        <v>72475.417311834972</v>
      </c>
      <c r="BF37" s="26">
        <f t="shared" si="34"/>
        <v>57665.267702647558</v>
      </c>
      <c r="BG37" s="26">
        <f t="shared" si="34"/>
        <v>65287.263776339852</v>
      </c>
      <c r="BH37" s="26">
        <f t="shared" si="34"/>
        <v>73637.184575190608</v>
      </c>
      <c r="BI37" s="27">
        <f t="shared" si="34"/>
        <v>82573.384829960924</v>
      </c>
      <c r="BJ37" s="26"/>
    </row>
    <row r="38" spans="1:62" ht="15.75" customHeight="1" x14ac:dyDescent="0.2">
      <c r="A38" s="116"/>
      <c r="B38" s="26" t="s">
        <v>51</v>
      </c>
      <c r="C38" s="26">
        <f t="shared" ref="C38:BI38" si="35">C24-C37</f>
        <v>-36762.959999999999</v>
      </c>
      <c r="D38" s="26">
        <f t="shared" si="35"/>
        <v>-35561.990000000005</v>
      </c>
      <c r="E38" s="26">
        <f t="shared" si="35"/>
        <v>-39208.839999999997</v>
      </c>
      <c r="F38" s="26">
        <f t="shared" si="35"/>
        <v>-38084.58</v>
      </c>
      <c r="G38" s="26">
        <f t="shared" si="35"/>
        <v>-40032.840000000004</v>
      </c>
      <c r="H38" s="26">
        <f t="shared" si="35"/>
        <v>-36846.770000000004</v>
      </c>
      <c r="I38" s="26">
        <f t="shared" si="35"/>
        <v>-37127.24</v>
      </c>
      <c r="J38" s="26">
        <f t="shared" si="35"/>
        <v>-35415.18</v>
      </c>
      <c r="K38" s="26">
        <f t="shared" si="35"/>
        <v>-35537.32</v>
      </c>
      <c r="L38" s="27">
        <f t="shared" si="35"/>
        <v>-35727.439999999995</v>
      </c>
      <c r="M38" s="26">
        <f t="shared" si="35"/>
        <v>-37060.9</v>
      </c>
      <c r="N38" s="26">
        <f t="shared" si="35"/>
        <v>-36944.9</v>
      </c>
      <c r="O38" s="26">
        <f t="shared" si="35"/>
        <v>-36891.119999999995</v>
      </c>
      <c r="P38" s="27">
        <f t="shared" si="35"/>
        <v>-36030.5</v>
      </c>
      <c r="Q38" s="26">
        <f t="shared" si="35"/>
        <v>-34880.05333333333</v>
      </c>
      <c r="R38" s="26">
        <f t="shared" si="35"/>
        <v>-34865.620000000003</v>
      </c>
      <c r="S38" s="26">
        <f t="shared" si="35"/>
        <v>-34675.820533333339</v>
      </c>
      <c r="T38" s="26">
        <f t="shared" si="35"/>
        <v>-34347.628288000007</v>
      </c>
      <c r="U38" s="27">
        <f t="shared" si="35"/>
        <v>-34062.47835285333</v>
      </c>
      <c r="V38" s="26">
        <f t="shared" si="35"/>
        <v>-34066.026420300805</v>
      </c>
      <c r="W38" s="26">
        <f t="shared" si="35"/>
        <v>-33968.907610446164</v>
      </c>
      <c r="X38" s="26">
        <f t="shared" si="35"/>
        <v>-33769.595248197351</v>
      </c>
      <c r="Y38" s="27">
        <f t="shared" si="35"/>
        <v>-33400.059591458572</v>
      </c>
      <c r="Z38" s="26">
        <f t="shared" si="35"/>
        <v>-33315.846508450253</v>
      </c>
      <c r="AA38" s="26">
        <f t="shared" si="35"/>
        <v>-33127.456102121592</v>
      </c>
      <c r="AB38" s="26">
        <f t="shared" si="35"/>
        <v>-32743.221279539783</v>
      </c>
      <c r="AC38" s="27">
        <f t="shared" si="35"/>
        <v>-32274.966264054718</v>
      </c>
      <c r="AD38" s="26">
        <f t="shared" si="35"/>
        <v>-32088.085047950241</v>
      </c>
      <c r="AE38" s="26">
        <f t="shared" si="35"/>
        <v>-31701.032320677507</v>
      </c>
      <c r="AF38" s="26">
        <f t="shared" si="35"/>
        <v>-31085.370502495698</v>
      </c>
      <c r="AG38" s="27">
        <f t="shared" si="35"/>
        <v>-30112.725957041152</v>
      </c>
      <c r="AH38" s="26">
        <f t="shared" si="35"/>
        <v>-29248.781293404787</v>
      </c>
      <c r="AI38" s="26">
        <f t="shared" si="35"/>
        <v>-29096.975503313879</v>
      </c>
      <c r="AJ38" s="26">
        <f t="shared" si="35"/>
        <v>-28086.182707916607</v>
      </c>
      <c r="AK38" s="27">
        <f t="shared" si="35"/>
        <v>-26994.169416841531</v>
      </c>
      <c r="AL38" s="26">
        <f t="shared" si="35"/>
        <v>-25815.250195391189</v>
      </c>
      <c r="AM38" s="26">
        <f t="shared" si="35"/>
        <v>-25326.421628439322</v>
      </c>
      <c r="AN38" s="26">
        <f t="shared" si="35"/>
        <v>-23955.014461800834</v>
      </c>
      <c r="AO38" s="27">
        <f t="shared" si="35"/>
        <v>-22477.143793497657</v>
      </c>
      <c r="AP38" s="26">
        <f t="shared" si="35"/>
        <v>-20885.357178413244</v>
      </c>
      <c r="AQ38" s="26">
        <f t="shared" si="35"/>
        <v>-19476.680500272927</v>
      </c>
      <c r="AR38" s="26">
        <f t="shared" si="35"/>
        <v>-18110.66145466279</v>
      </c>
      <c r="AS38" s="27">
        <f t="shared" si="35"/>
        <v>-16127.010475859926</v>
      </c>
      <c r="AT38" s="26">
        <f t="shared" si="35"/>
        <v>-13994.038928540875</v>
      </c>
      <c r="AU38" s="26">
        <f t="shared" si="35"/>
        <v>37086.160550429369</v>
      </c>
      <c r="AV38" s="26">
        <f t="shared" si="35"/>
        <v>43168.141466605761</v>
      </c>
      <c r="AW38" s="27">
        <f t="shared" si="35"/>
        <v>49686.326046914503</v>
      </c>
      <c r="AX38" s="26">
        <f t="shared" si="35"/>
        <v>-4053.6123094772047</v>
      </c>
      <c r="AY38" s="26">
        <f t="shared" si="35"/>
        <v>63850.580623840295</v>
      </c>
      <c r="AZ38" s="26">
        <f t="shared" si="35"/>
        <v>71869.280945155449</v>
      </c>
      <c r="BA38" s="27">
        <f t="shared" si="35"/>
        <v>80459.755288962682</v>
      </c>
      <c r="BB38" s="26">
        <f t="shared" si="35"/>
        <v>9256.9080375192498</v>
      </c>
      <c r="BC38" s="26">
        <f t="shared" si="35"/>
        <v>99518.92446306131</v>
      </c>
      <c r="BD38" s="26">
        <f t="shared" si="35"/>
        <v>110076.26885312193</v>
      </c>
      <c r="BE38" s="27">
        <f t="shared" si="35"/>
        <v>121383.0923504868</v>
      </c>
      <c r="BF38" s="26">
        <f t="shared" si="35"/>
        <v>27289.933796416051</v>
      </c>
      <c r="BG38" s="26">
        <f t="shared" si="35"/>
        <v>146458.70326480022</v>
      </c>
      <c r="BH38" s="26">
        <f t="shared" si="35"/>
        <v>160343.6921709826</v>
      </c>
      <c r="BI38" s="27">
        <f t="shared" si="35"/>
        <v>175211.09530059766</v>
      </c>
      <c r="BJ38" s="26"/>
    </row>
    <row r="39" spans="1:62" ht="15.75" customHeight="1" x14ac:dyDescent="0.2">
      <c r="A39" s="117"/>
      <c r="B39" s="118" t="s">
        <v>52</v>
      </c>
      <c r="C39" s="119">
        <f t="shared" ref="C39:H39" si="36">C21-C27-C28</f>
        <v>1414.04</v>
      </c>
      <c r="D39" s="119">
        <f t="shared" si="36"/>
        <v>3118</v>
      </c>
      <c r="E39" s="119">
        <f t="shared" si="36"/>
        <v>48.299999999999955</v>
      </c>
      <c r="F39" s="119">
        <f t="shared" si="36"/>
        <v>1520.42</v>
      </c>
      <c r="G39" s="119">
        <f t="shared" si="36"/>
        <v>-131.13999999999965</v>
      </c>
      <c r="H39" s="119">
        <f t="shared" si="36"/>
        <v>86.549999999999955</v>
      </c>
      <c r="I39" s="119">
        <f t="shared" ref="I39:BI39" si="37">I21-I27-I28-I23</f>
        <v>-279.92000000000007</v>
      </c>
      <c r="J39" s="119">
        <f t="shared" si="37"/>
        <v>1165.2799999999997</v>
      </c>
      <c r="K39" s="119">
        <f t="shared" si="37"/>
        <v>1063.1800000000003</v>
      </c>
      <c r="L39" s="120">
        <f t="shared" si="37"/>
        <v>558.39000000000124</v>
      </c>
      <c r="M39" s="119">
        <f t="shared" si="37"/>
        <v>1278.6650000000009</v>
      </c>
      <c r="N39" s="119">
        <f t="shared" si="37"/>
        <v>70.665000000000873</v>
      </c>
      <c r="O39" s="119">
        <f t="shared" si="37"/>
        <v>-58.244999999998981</v>
      </c>
      <c r="P39" s="120">
        <f t="shared" si="37"/>
        <v>-507.15499999999884</v>
      </c>
      <c r="Q39" s="119">
        <f t="shared" si="37"/>
        <v>378.29166666666697</v>
      </c>
      <c r="R39" s="119">
        <f t="shared" si="37"/>
        <v>-127.19499999999971</v>
      </c>
      <c r="S39" s="119">
        <f t="shared" si="37"/>
        <v>-43.392333333333227</v>
      </c>
      <c r="T39" s="119">
        <f t="shared" si="37"/>
        <v>174.5632399999995</v>
      </c>
      <c r="U39" s="120">
        <f t="shared" si="37"/>
        <v>172.06703626666604</v>
      </c>
      <c r="V39" s="119">
        <f t="shared" si="37"/>
        <v>49.28698438399806</v>
      </c>
      <c r="W39" s="119">
        <f t="shared" si="37"/>
        <v>-123.5954695739747</v>
      </c>
      <c r="X39" s="119">
        <f t="shared" si="37"/>
        <v>36.755578309734119</v>
      </c>
      <c r="Y39" s="120">
        <f t="shared" si="37"/>
        <v>99.171468108788758</v>
      </c>
      <c r="Z39" s="119">
        <f t="shared" si="37"/>
        <v>-2667.6212753899672</v>
      </c>
      <c r="AA39" s="119">
        <f t="shared" si="37"/>
        <v>-2804.294808983308</v>
      </c>
      <c r="AB39" s="119">
        <f t="shared" si="37"/>
        <v>-2570.9264839203806</v>
      </c>
      <c r="AC39" s="120">
        <f t="shared" si="37"/>
        <v>-2432.5726258549385</v>
      </c>
      <c r="AD39" s="119">
        <f t="shared" si="37"/>
        <v>-2408.8686134668787</v>
      </c>
      <c r="AE39" s="119">
        <f t="shared" si="37"/>
        <v>-2679.0886134668781</v>
      </c>
      <c r="AF39" s="119">
        <f t="shared" si="37"/>
        <v>-2574.1086134668785</v>
      </c>
      <c r="AG39" s="120">
        <f t="shared" si="37"/>
        <v>-2322.8936134668784</v>
      </c>
      <c r="AH39" s="119">
        <f t="shared" si="37"/>
        <v>-2218.6285634668748</v>
      </c>
      <c r="AI39" s="119">
        <f t="shared" si="37"/>
        <v>-3047.4299599668739</v>
      </c>
      <c r="AJ39" s="119">
        <f t="shared" si="37"/>
        <v>-2881.0368542218748</v>
      </c>
      <c r="AK39" s="120">
        <f t="shared" si="37"/>
        <v>-2680.2812310747286</v>
      </c>
      <c r="AL39" s="119">
        <f t="shared" si="37"/>
        <v>-2442.757714307274</v>
      </c>
      <c r="AM39" s="119">
        <f t="shared" si="37"/>
        <v>-3128.9725513661033</v>
      </c>
      <c r="AN39" s="119">
        <f t="shared" si="37"/>
        <v>-2810.0118270190505</v>
      </c>
      <c r="AO39" s="120">
        <f t="shared" si="37"/>
        <v>-2446.0088519677047</v>
      </c>
      <c r="AP39" s="119">
        <f t="shared" si="37"/>
        <v>-2033.8106686627652</v>
      </c>
      <c r="AQ39" s="119">
        <f t="shared" si="37"/>
        <v>-2055.043612526475</v>
      </c>
      <c r="AR39" s="119">
        <f t="shared" si="37"/>
        <v>-2014.1778624606377</v>
      </c>
      <c r="AS39" s="120">
        <f t="shared" si="37"/>
        <v>-1436.1909098902033</v>
      </c>
      <c r="AT39" s="119">
        <f t="shared" si="37"/>
        <v>-795.02987063983164</v>
      </c>
      <c r="AU39" s="119">
        <f t="shared" si="37"/>
        <v>-571.2725586419474</v>
      </c>
      <c r="AV39" s="119">
        <f t="shared" si="37"/>
        <v>209.8127651958057</v>
      </c>
      <c r="AW39" s="120">
        <f t="shared" si="37"/>
        <v>1068.2890617021985</v>
      </c>
      <c r="AX39" s="119">
        <f t="shared" si="37"/>
        <v>2009.5736989640209</v>
      </c>
      <c r="AY39" s="119">
        <f t="shared" si="37"/>
        <v>2554.4632608341853</v>
      </c>
      <c r="AZ39" s="119">
        <f t="shared" si="37"/>
        <v>3679.1600920352648</v>
      </c>
      <c r="BA39" s="120">
        <f t="shared" si="37"/>
        <v>4905.3007014203904</v>
      </c>
      <c r="BB39" s="119">
        <f t="shared" si="37"/>
        <v>6239.9861534624943</v>
      </c>
      <c r="BC39" s="119">
        <f t="shared" si="37"/>
        <v>7510.8145871475717</v>
      </c>
      <c r="BD39" s="119">
        <f t="shared" si="37"/>
        <v>9085.9160111905658</v>
      </c>
      <c r="BE39" s="120">
        <f t="shared" si="37"/>
        <v>10793.989534916604</v>
      </c>
      <c r="BF39" s="119">
        <f t="shared" si="37"/>
        <v>12644.343205303448</v>
      </c>
      <c r="BG39" s="119">
        <f t="shared" si="37"/>
        <v>14466.936632617391</v>
      </c>
      <c r="BH39" s="119">
        <f t="shared" si="37"/>
        <v>16632.426599843253</v>
      </c>
      <c r="BI39" s="120">
        <f t="shared" si="37"/>
        <v>18972.215864774989</v>
      </c>
      <c r="BJ39" s="119"/>
    </row>
    <row r="40" spans="1:62" ht="15.75" customHeight="1" x14ac:dyDescent="0.2">
      <c r="A40" s="41"/>
      <c r="B40" s="42" t="s">
        <v>53</v>
      </c>
      <c r="C40" s="15">
        <f t="shared" ref="C40:BI40" si="38">C9</f>
        <v>46048</v>
      </c>
      <c r="D40" s="18">
        <f t="shared" si="38"/>
        <v>46055</v>
      </c>
      <c r="E40" s="17">
        <f t="shared" si="38"/>
        <v>46062</v>
      </c>
      <c r="F40" s="15">
        <f t="shared" si="38"/>
        <v>46069</v>
      </c>
      <c r="G40" s="15">
        <f t="shared" si="38"/>
        <v>46076</v>
      </c>
      <c r="H40" s="18">
        <f t="shared" si="38"/>
        <v>46083</v>
      </c>
      <c r="I40" s="17">
        <f t="shared" si="38"/>
        <v>46090</v>
      </c>
      <c r="J40" s="15">
        <f t="shared" si="38"/>
        <v>46097</v>
      </c>
      <c r="K40" s="15">
        <f t="shared" si="38"/>
        <v>46104</v>
      </c>
      <c r="L40" s="20">
        <f t="shared" si="38"/>
        <v>46111</v>
      </c>
      <c r="M40" s="17">
        <f t="shared" si="38"/>
        <v>46118</v>
      </c>
      <c r="N40" s="15">
        <f t="shared" si="38"/>
        <v>46125</v>
      </c>
      <c r="O40" s="15">
        <f t="shared" si="38"/>
        <v>46132</v>
      </c>
      <c r="P40" s="20">
        <f t="shared" si="38"/>
        <v>46139</v>
      </c>
      <c r="Q40" s="17">
        <f t="shared" si="38"/>
        <v>46146</v>
      </c>
      <c r="R40" s="15">
        <f t="shared" si="38"/>
        <v>46153</v>
      </c>
      <c r="S40" s="15">
        <f t="shared" si="38"/>
        <v>46160</v>
      </c>
      <c r="T40" s="15">
        <f t="shared" si="38"/>
        <v>46167</v>
      </c>
      <c r="U40" s="20">
        <f t="shared" si="38"/>
        <v>46174</v>
      </c>
      <c r="V40" s="17">
        <f t="shared" si="38"/>
        <v>46181</v>
      </c>
      <c r="W40" s="15">
        <f t="shared" si="38"/>
        <v>46188</v>
      </c>
      <c r="X40" s="15">
        <f t="shared" si="38"/>
        <v>46195</v>
      </c>
      <c r="Y40" s="20">
        <f t="shared" si="38"/>
        <v>46202</v>
      </c>
      <c r="Z40" s="17">
        <f t="shared" si="38"/>
        <v>46209</v>
      </c>
      <c r="AA40" s="15">
        <f t="shared" si="38"/>
        <v>46216</v>
      </c>
      <c r="AB40" s="15">
        <f t="shared" si="38"/>
        <v>46223</v>
      </c>
      <c r="AC40" s="20">
        <f t="shared" si="38"/>
        <v>46230</v>
      </c>
      <c r="AD40" s="17">
        <f t="shared" si="38"/>
        <v>46237</v>
      </c>
      <c r="AE40" s="15">
        <f t="shared" si="38"/>
        <v>46244</v>
      </c>
      <c r="AF40" s="15">
        <f t="shared" si="38"/>
        <v>46251</v>
      </c>
      <c r="AG40" s="20">
        <f t="shared" si="38"/>
        <v>46258</v>
      </c>
      <c r="AH40" s="17">
        <f t="shared" si="38"/>
        <v>46265</v>
      </c>
      <c r="AI40" s="15">
        <f t="shared" si="38"/>
        <v>46272</v>
      </c>
      <c r="AJ40" s="15">
        <f t="shared" si="38"/>
        <v>46279</v>
      </c>
      <c r="AK40" s="20">
        <f t="shared" si="38"/>
        <v>46286</v>
      </c>
      <c r="AL40" s="17">
        <f t="shared" si="38"/>
        <v>46293</v>
      </c>
      <c r="AM40" s="15">
        <f t="shared" si="38"/>
        <v>46300</v>
      </c>
      <c r="AN40" s="15">
        <f t="shared" si="38"/>
        <v>46307</v>
      </c>
      <c r="AO40" s="20">
        <f t="shared" si="38"/>
        <v>46314</v>
      </c>
      <c r="AP40" s="17">
        <f t="shared" si="38"/>
        <v>46321</v>
      </c>
      <c r="AQ40" s="15">
        <f t="shared" si="38"/>
        <v>46328</v>
      </c>
      <c r="AR40" s="15">
        <f t="shared" si="38"/>
        <v>46335</v>
      </c>
      <c r="AS40" s="20">
        <f t="shared" si="38"/>
        <v>46342</v>
      </c>
      <c r="AT40" s="17">
        <f t="shared" si="38"/>
        <v>46349</v>
      </c>
      <c r="AU40" s="15">
        <f t="shared" si="38"/>
        <v>46356</v>
      </c>
      <c r="AV40" s="15">
        <f t="shared" si="38"/>
        <v>46363</v>
      </c>
      <c r="AW40" s="20">
        <f t="shared" si="38"/>
        <v>46370</v>
      </c>
      <c r="AX40" s="17">
        <f t="shared" si="38"/>
        <v>46377</v>
      </c>
      <c r="AY40" s="15">
        <f t="shared" si="38"/>
        <v>46384</v>
      </c>
      <c r="AZ40" s="15">
        <f t="shared" si="38"/>
        <v>46391</v>
      </c>
      <c r="BA40" s="20">
        <f t="shared" si="38"/>
        <v>46398</v>
      </c>
      <c r="BB40" s="17">
        <f t="shared" si="38"/>
        <v>46405</v>
      </c>
      <c r="BC40" s="15">
        <f t="shared" si="38"/>
        <v>46412</v>
      </c>
      <c r="BD40" s="15">
        <f t="shared" si="38"/>
        <v>46419</v>
      </c>
      <c r="BE40" s="20">
        <f t="shared" si="38"/>
        <v>46426</v>
      </c>
      <c r="BF40" s="17">
        <f t="shared" si="38"/>
        <v>46433</v>
      </c>
      <c r="BG40" s="15">
        <f t="shared" si="38"/>
        <v>46440</v>
      </c>
      <c r="BH40" s="15">
        <f t="shared" si="38"/>
        <v>46447</v>
      </c>
      <c r="BI40" s="20">
        <f t="shared" si="38"/>
        <v>46454</v>
      </c>
      <c r="BJ40" s="21"/>
    </row>
    <row r="41" spans="1:62" ht="15.75" customHeight="1" x14ac:dyDescent="0.2">
      <c r="A41" s="121" t="s">
        <v>54</v>
      </c>
      <c r="B41" s="122" t="s">
        <v>55</v>
      </c>
      <c r="C41" s="123"/>
      <c r="D41" s="124"/>
      <c r="E41" s="124"/>
      <c r="F41" s="124"/>
      <c r="G41" s="124"/>
      <c r="H41" s="124"/>
      <c r="I41" s="124"/>
      <c r="J41" s="124"/>
      <c r="K41" s="124"/>
      <c r="L41" s="125"/>
      <c r="M41" s="124"/>
      <c r="N41" s="124"/>
      <c r="O41" s="124"/>
      <c r="P41" s="125"/>
      <c r="Q41" s="126"/>
      <c r="R41" s="126"/>
      <c r="S41" s="126"/>
      <c r="T41" s="126"/>
      <c r="U41" s="127"/>
      <c r="V41" s="126"/>
      <c r="W41" s="126"/>
      <c r="X41" s="126"/>
      <c r="Y41" s="127"/>
      <c r="Z41" s="126"/>
      <c r="AA41" s="126"/>
      <c r="AB41" s="126"/>
      <c r="AC41" s="127"/>
      <c r="AD41" s="128"/>
      <c r="AE41" s="126"/>
      <c r="AF41" s="126"/>
      <c r="AG41" s="127"/>
      <c r="AH41" s="126"/>
      <c r="AI41" s="126"/>
      <c r="AJ41" s="126"/>
      <c r="AK41" s="127"/>
      <c r="AL41" s="126"/>
      <c r="AM41" s="126"/>
      <c r="AN41" s="126"/>
      <c r="AO41" s="127"/>
      <c r="AP41" s="128"/>
      <c r="AQ41" s="126"/>
      <c r="AR41" s="126"/>
      <c r="AS41" s="127"/>
      <c r="AT41" s="126"/>
      <c r="AU41" s="126"/>
      <c r="AV41" s="126"/>
      <c r="AW41" s="127"/>
      <c r="AX41" s="126"/>
      <c r="AY41" s="126"/>
      <c r="AZ41" s="126"/>
      <c r="BA41" s="127"/>
      <c r="BB41" s="126"/>
      <c r="BC41" s="126"/>
      <c r="BD41" s="126"/>
      <c r="BE41" s="127"/>
      <c r="BF41" s="126"/>
      <c r="BG41" s="126"/>
      <c r="BH41" s="126"/>
      <c r="BI41" s="127"/>
      <c r="BJ41" s="129"/>
    </row>
    <row r="42" spans="1:62" ht="15.75" customHeight="1" x14ac:dyDescent="0.2">
      <c r="A42" s="130">
        <v>0.04</v>
      </c>
      <c r="B42" s="68" t="s">
        <v>56</v>
      </c>
      <c r="C42" s="131">
        <f t="shared" ref="C42:D42" si="39">C5*0.965</f>
        <v>2456.3636363636365</v>
      </c>
      <c r="D42" s="132">
        <f t="shared" si="39"/>
        <v>3106.335</v>
      </c>
      <c r="E42" s="132">
        <f>(E5*(1-$A$42))</f>
        <v>2315.52</v>
      </c>
      <c r="F42" s="132">
        <v>1273</v>
      </c>
      <c r="G42" s="132">
        <f t="shared" ref="G42:BI42" si="40">(G5*(1-$A$42))</f>
        <v>2117.7599999999998</v>
      </c>
      <c r="H42" s="132">
        <f t="shared" si="40"/>
        <v>1633.9199999999998</v>
      </c>
      <c r="I42" s="132">
        <f t="shared" si="40"/>
        <v>1678.08</v>
      </c>
      <c r="J42" s="132">
        <f t="shared" si="40"/>
        <v>1599.36</v>
      </c>
      <c r="K42" s="132">
        <f t="shared" si="40"/>
        <v>1439.04</v>
      </c>
      <c r="L42" s="133">
        <f t="shared" si="40"/>
        <v>1837.4399999999998</v>
      </c>
      <c r="M42" s="132">
        <f t="shared" si="40"/>
        <v>1368</v>
      </c>
      <c r="N42" s="132">
        <f t="shared" si="40"/>
        <v>1817.28</v>
      </c>
      <c r="O42" s="132">
        <f t="shared" si="40"/>
        <v>1529.28</v>
      </c>
      <c r="P42" s="133">
        <f t="shared" si="40"/>
        <v>1567.9999999999998</v>
      </c>
      <c r="Q42" s="134">
        <f t="shared" si="40"/>
        <v>1630.7199999999998</v>
      </c>
      <c r="R42" s="134">
        <f t="shared" si="40"/>
        <v>1695.9488000000001</v>
      </c>
      <c r="S42" s="134">
        <f t="shared" si="40"/>
        <v>1763.7867519999998</v>
      </c>
      <c r="T42" s="134">
        <f t="shared" si="40"/>
        <v>1834.3382220800002</v>
      </c>
      <c r="U42" s="135">
        <f t="shared" si="40"/>
        <v>1907.7117509632003</v>
      </c>
      <c r="V42" s="134">
        <f t="shared" si="40"/>
        <v>1984.0202210017285</v>
      </c>
      <c r="W42" s="134">
        <f t="shared" si="40"/>
        <v>2063.3810298417975</v>
      </c>
      <c r="X42" s="134">
        <f t="shared" si="40"/>
        <v>2145.916271035469</v>
      </c>
      <c r="Y42" s="135">
        <f t="shared" si="40"/>
        <v>2231.7529218768882</v>
      </c>
      <c r="Z42" s="134">
        <f t="shared" si="40"/>
        <v>2321.0230387519637</v>
      </c>
      <c r="AA42" s="134">
        <f t="shared" si="40"/>
        <v>2413.8639603020424</v>
      </c>
      <c r="AB42" s="134">
        <f t="shared" si="40"/>
        <v>2510.4185187141243</v>
      </c>
      <c r="AC42" s="135">
        <f t="shared" si="40"/>
        <v>2610.8352594626895</v>
      </c>
      <c r="AD42" s="136">
        <f t="shared" si="40"/>
        <v>3054.545454545454</v>
      </c>
      <c r="AE42" s="134">
        <f t="shared" si="40"/>
        <v>3268.363636363636</v>
      </c>
      <c r="AF42" s="134">
        <f t="shared" si="40"/>
        <v>3497.1490909090903</v>
      </c>
      <c r="AG42" s="135">
        <f t="shared" si="40"/>
        <v>3741.9495272727277</v>
      </c>
      <c r="AH42" s="134">
        <f t="shared" si="40"/>
        <v>4003.8859941818187</v>
      </c>
      <c r="AI42" s="134">
        <f t="shared" si="40"/>
        <v>4284.1580137745459</v>
      </c>
      <c r="AJ42" s="134">
        <f t="shared" si="40"/>
        <v>4584.0490747387648</v>
      </c>
      <c r="AK42" s="135">
        <f t="shared" si="40"/>
        <v>4904.9325099704793</v>
      </c>
      <c r="AL42" s="134">
        <f t="shared" si="40"/>
        <v>5248.2777856684124</v>
      </c>
      <c r="AM42" s="134">
        <f t="shared" si="40"/>
        <v>5615.6572306652024</v>
      </c>
      <c r="AN42" s="134">
        <f t="shared" si="40"/>
        <v>6008.7532368117663</v>
      </c>
      <c r="AO42" s="135">
        <f t="shared" si="40"/>
        <v>6429.3659633885909</v>
      </c>
      <c r="AP42" s="136">
        <f t="shared" si="40"/>
        <v>6879.4215808257914</v>
      </c>
      <c r="AQ42" s="134">
        <f t="shared" si="40"/>
        <v>7360.9810914835971</v>
      </c>
      <c r="AR42" s="134">
        <f t="shared" si="40"/>
        <v>7876.2497678874488</v>
      </c>
      <c r="AS42" s="135">
        <f t="shared" si="40"/>
        <v>8427.5872516395702</v>
      </c>
      <c r="AT42" s="134">
        <f t="shared" si="40"/>
        <v>9017.5183592543399</v>
      </c>
      <c r="AU42" s="134">
        <f t="shared" si="40"/>
        <v>9648.7446444021462</v>
      </c>
      <c r="AV42" s="134">
        <f t="shared" si="40"/>
        <v>10324.156769510297</v>
      </c>
      <c r="AW42" s="135">
        <f t="shared" si="40"/>
        <v>11046.847743376016</v>
      </c>
      <c r="AX42" s="134">
        <f t="shared" si="40"/>
        <v>11820.12708541234</v>
      </c>
      <c r="AY42" s="134">
        <f t="shared" si="40"/>
        <v>12647.535981391204</v>
      </c>
      <c r="AZ42" s="134">
        <f t="shared" si="40"/>
        <v>13532.863500088588</v>
      </c>
      <c r="BA42" s="135">
        <f t="shared" si="40"/>
        <v>14480.16394509479</v>
      </c>
      <c r="BB42" s="134">
        <f t="shared" si="40"/>
        <v>15493.775421251426</v>
      </c>
      <c r="BC42" s="134">
        <f t="shared" si="40"/>
        <v>16578.33970073903</v>
      </c>
      <c r="BD42" s="134">
        <f t="shared" si="40"/>
        <v>17738.823479790761</v>
      </c>
      <c r="BE42" s="135">
        <f t="shared" si="40"/>
        <v>18980.541123376115</v>
      </c>
      <c r="BF42" s="134">
        <f t="shared" si="40"/>
        <v>20309.179002012443</v>
      </c>
      <c r="BG42" s="134">
        <f t="shared" si="40"/>
        <v>21730.821532153313</v>
      </c>
      <c r="BH42" s="134">
        <f t="shared" si="40"/>
        <v>23251.979039404046</v>
      </c>
      <c r="BI42" s="135">
        <f t="shared" si="40"/>
        <v>24879.617572162329</v>
      </c>
      <c r="BJ42" s="137"/>
    </row>
    <row r="43" spans="1:62" ht="15.75" customHeight="1" x14ac:dyDescent="0.2">
      <c r="A43" s="94"/>
      <c r="B43" s="95" t="s">
        <v>57</v>
      </c>
      <c r="C43" s="131"/>
      <c r="D43" s="132"/>
      <c r="E43" s="132">
        <f>-(E5*E8)</f>
        <v>-651.24</v>
      </c>
      <c r="F43" s="132">
        <v>-680</v>
      </c>
      <c r="G43" s="132">
        <f>-(G5*G8)</f>
        <v>-595.62</v>
      </c>
      <c r="H43" s="132">
        <v>-538</v>
      </c>
      <c r="I43" s="132">
        <f t="shared" ref="I43:L43" si="41">-(I5*I8)</f>
        <v>-471.96000000000004</v>
      </c>
      <c r="J43" s="132">
        <f t="shared" si="41"/>
        <v>-449.82000000000005</v>
      </c>
      <c r="K43" s="132">
        <f t="shared" si="41"/>
        <v>-404.73</v>
      </c>
      <c r="L43" s="133">
        <f t="shared" si="41"/>
        <v>-540.70499999999993</v>
      </c>
      <c r="M43" s="132">
        <v>-374</v>
      </c>
      <c r="N43" s="132">
        <f t="shared" ref="N43:BI43" si="42">-(N5*N8)</f>
        <v>-511.11</v>
      </c>
      <c r="O43" s="132">
        <f t="shared" si="42"/>
        <v>-430.11</v>
      </c>
      <c r="P43" s="133">
        <f t="shared" si="42"/>
        <v>-441</v>
      </c>
      <c r="Q43" s="134">
        <f t="shared" si="42"/>
        <v>-458.64</v>
      </c>
      <c r="R43" s="134">
        <f t="shared" si="42"/>
        <v>-476.98560000000009</v>
      </c>
      <c r="S43" s="134">
        <f t="shared" si="42"/>
        <v>-496.06502399999999</v>
      </c>
      <c r="T43" s="134">
        <f t="shared" si="42"/>
        <v>-515.90762496000013</v>
      </c>
      <c r="U43" s="135">
        <f t="shared" si="42"/>
        <v>-536.5439299584001</v>
      </c>
      <c r="V43" s="134">
        <f t="shared" si="42"/>
        <v>-558.00568715673614</v>
      </c>
      <c r="W43" s="134">
        <f t="shared" si="42"/>
        <v>-580.3259146430056</v>
      </c>
      <c r="X43" s="134">
        <f t="shared" si="42"/>
        <v>-603.53895122872575</v>
      </c>
      <c r="Y43" s="135">
        <f t="shared" si="42"/>
        <v>-627.68050927787488</v>
      </c>
      <c r="Z43" s="134">
        <f t="shared" si="42"/>
        <v>-652.78772964898985</v>
      </c>
      <c r="AA43" s="134">
        <f t="shared" si="42"/>
        <v>-678.89923883494953</v>
      </c>
      <c r="AB43" s="134">
        <f t="shared" si="42"/>
        <v>-706.05520838834752</v>
      </c>
      <c r="AC43" s="135">
        <f t="shared" si="42"/>
        <v>-734.2974167238815</v>
      </c>
      <c r="AD43" s="136">
        <f t="shared" si="42"/>
        <v>-859.09090909090912</v>
      </c>
      <c r="AE43" s="134">
        <f t="shared" si="42"/>
        <v>-919.22727272727275</v>
      </c>
      <c r="AF43" s="134">
        <f t="shared" si="42"/>
        <v>-983.57318181818175</v>
      </c>
      <c r="AG43" s="135">
        <f t="shared" si="42"/>
        <v>-1052.4233045454548</v>
      </c>
      <c r="AH43" s="134">
        <f t="shared" si="42"/>
        <v>-1126.0929358636367</v>
      </c>
      <c r="AI43" s="134">
        <f t="shared" si="42"/>
        <v>-1204.9194413740913</v>
      </c>
      <c r="AJ43" s="134">
        <f t="shared" si="42"/>
        <v>-1289.2638022702777</v>
      </c>
      <c r="AK43" s="135">
        <f t="shared" si="42"/>
        <v>-1379.5122684291973</v>
      </c>
      <c r="AL43" s="134">
        <f t="shared" si="42"/>
        <v>-1476.0781272192412</v>
      </c>
      <c r="AM43" s="134">
        <f t="shared" si="42"/>
        <v>-1579.4035961245884</v>
      </c>
      <c r="AN43" s="134">
        <f t="shared" si="42"/>
        <v>-1689.9618478533096</v>
      </c>
      <c r="AO43" s="135">
        <f t="shared" si="42"/>
        <v>-1808.2591772030414</v>
      </c>
      <c r="AP43" s="136">
        <f t="shared" si="42"/>
        <v>-1934.8373196072541</v>
      </c>
      <c r="AQ43" s="134">
        <f t="shared" si="42"/>
        <v>-2070.2759319797619</v>
      </c>
      <c r="AR43" s="134">
        <f t="shared" si="42"/>
        <v>-2215.1952472183452</v>
      </c>
      <c r="AS43" s="135">
        <f t="shared" si="42"/>
        <v>-2370.2589145236293</v>
      </c>
      <c r="AT43" s="134">
        <f t="shared" si="42"/>
        <v>-2536.1770385402833</v>
      </c>
      <c r="AU43" s="134">
        <f t="shared" si="42"/>
        <v>-2713.7094312381037</v>
      </c>
      <c r="AV43" s="134">
        <f t="shared" si="42"/>
        <v>-2903.6690914247711</v>
      </c>
      <c r="AW43" s="135">
        <f t="shared" si="42"/>
        <v>-3106.9259278245049</v>
      </c>
      <c r="AX43" s="134">
        <f t="shared" si="42"/>
        <v>-3324.4107427722206</v>
      </c>
      <c r="AY43" s="134">
        <f t="shared" si="42"/>
        <v>-3557.1194947662761</v>
      </c>
      <c r="AZ43" s="134">
        <f t="shared" si="42"/>
        <v>-3806.1178593999157</v>
      </c>
      <c r="BA43" s="135">
        <f t="shared" si="42"/>
        <v>-4072.5461095579099</v>
      </c>
      <c r="BB43" s="134">
        <f t="shared" si="42"/>
        <v>-4357.6243372269637</v>
      </c>
      <c r="BC43" s="134">
        <f t="shared" si="42"/>
        <v>-4662.6580408328527</v>
      </c>
      <c r="BD43" s="134">
        <f t="shared" si="42"/>
        <v>-4989.0441036911516</v>
      </c>
      <c r="BE43" s="135">
        <f t="shared" si="42"/>
        <v>-5338.2771909495332</v>
      </c>
      <c r="BF43" s="134">
        <f t="shared" si="42"/>
        <v>-5711.9565943159996</v>
      </c>
      <c r="BG43" s="134">
        <f t="shared" si="42"/>
        <v>-6111.7935559181205</v>
      </c>
      <c r="BH43" s="134">
        <f t="shared" si="42"/>
        <v>-6539.6191048323881</v>
      </c>
      <c r="BI43" s="135">
        <f t="shared" si="42"/>
        <v>-6997.3924421706561</v>
      </c>
      <c r="BJ43" s="137"/>
    </row>
    <row r="44" spans="1:62" ht="15.75" customHeight="1" x14ac:dyDescent="0.2">
      <c r="A44" s="138"/>
      <c r="B44" s="122" t="s">
        <v>58</v>
      </c>
      <c r="C44" s="139">
        <f t="shared" ref="C44:BI44" si="43">SUM(C42:C43)</f>
        <v>2456.3636363636365</v>
      </c>
      <c r="D44" s="140">
        <f t="shared" si="43"/>
        <v>3106.335</v>
      </c>
      <c r="E44" s="140">
        <f t="shared" si="43"/>
        <v>1664.28</v>
      </c>
      <c r="F44" s="140">
        <f t="shared" si="43"/>
        <v>593</v>
      </c>
      <c r="G44" s="140">
        <f t="shared" si="43"/>
        <v>1522.1399999999999</v>
      </c>
      <c r="H44" s="140">
        <f t="shared" si="43"/>
        <v>1095.9199999999998</v>
      </c>
      <c r="I44" s="141">
        <f t="shared" si="43"/>
        <v>1206.1199999999999</v>
      </c>
      <c r="J44" s="141">
        <f t="shared" si="43"/>
        <v>1149.54</v>
      </c>
      <c r="K44" s="141">
        <f t="shared" si="43"/>
        <v>1034.31</v>
      </c>
      <c r="L44" s="142">
        <f t="shared" si="43"/>
        <v>1296.7349999999999</v>
      </c>
      <c r="M44" s="140">
        <f t="shared" si="43"/>
        <v>994</v>
      </c>
      <c r="N44" s="141">
        <f t="shared" si="43"/>
        <v>1306.17</v>
      </c>
      <c r="O44" s="141">
        <f t="shared" si="43"/>
        <v>1099.17</v>
      </c>
      <c r="P44" s="142">
        <f t="shared" si="43"/>
        <v>1126.9999999999998</v>
      </c>
      <c r="Q44" s="143">
        <f t="shared" si="43"/>
        <v>1172.08</v>
      </c>
      <c r="R44" s="143">
        <f t="shared" si="43"/>
        <v>1218.9632000000001</v>
      </c>
      <c r="S44" s="143">
        <f t="shared" si="43"/>
        <v>1267.7217279999998</v>
      </c>
      <c r="T44" s="143">
        <f t="shared" si="43"/>
        <v>1318.4305971200001</v>
      </c>
      <c r="U44" s="144">
        <f t="shared" si="43"/>
        <v>1371.1678210048003</v>
      </c>
      <c r="V44" s="143">
        <f t="shared" si="43"/>
        <v>1426.0145338449925</v>
      </c>
      <c r="W44" s="143">
        <f t="shared" si="43"/>
        <v>1483.055115198792</v>
      </c>
      <c r="X44" s="143">
        <f t="shared" si="43"/>
        <v>1542.3773198067433</v>
      </c>
      <c r="Y44" s="144">
        <f t="shared" si="43"/>
        <v>1604.0724125990132</v>
      </c>
      <c r="Z44" s="143">
        <f t="shared" si="43"/>
        <v>1668.2353091029738</v>
      </c>
      <c r="AA44" s="143">
        <f t="shared" si="43"/>
        <v>1734.9647214670929</v>
      </c>
      <c r="AB44" s="143">
        <f t="shared" si="43"/>
        <v>1804.3633103257766</v>
      </c>
      <c r="AC44" s="144">
        <f t="shared" si="43"/>
        <v>1876.537842738808</v>
      </c>
      <c r="AD44" s="145">
        <f t="shared" si="43"/>
        <v>2195.454545454545</v>
      </c>
      <c r="AE44" s="143">
        <f t="shared" si="43"/>
        <v>2349.1363636363631</v>
      </c>
      <c r="AF44" s="143">
        <f t="shared" si="43"/>
        <v>2513.5759090909087</v>
      </c>
      <c r="AG44" s="144">
        <f t="shared" si="43"/>
        <v>2689.5262227272729</v>
      </c>
      <c r="AH44" s="143">
        <f t="shared" si="43"/>
        <v>2877.7930583181819</v>
      </c>
      <c r="AI44" s="143">
        <f t="shared" si="43"/>
        <v>3079.2385724004544</v>
      </c>
      <c r="AJ44" s="143">
        <f t="shared" si="43"/>
        <v>3294.7852724684872</v>
      </c>
      <c r="AK44" s="144">
        <f t="shared" si="43"/>
        <v>3525.4202415412819</v>
      </c>
      <c r="AL44" s="143">
        <f t="shared" si="43"/>
        <v>3772.1996584491712</v>
      </c>
      <c r="AM44" s="143">
        <f t="shared" si="43"/>
        <v>4036.2536345406143</v>
      </c>
      <c r="AN44" s="143">
        <f t="shared" si="43"/>
        <v>4318.791388958457</v>
      </c>
      <c r="AO44" s="144">
        <f t="shared" si="43"/>
        <v>4621.1067861855499</v>
      </c>
      <c r="AP44" s="145">
        <f t="shared" si="43"/>
        <v>4944.584261218537</v>
      </c>
      <c r="AQ44" s="143">
        <f t="shared" si="43"/>
        <v>5290.7051595038356</v>
      </c>
      <c r="AR44" s="143">
        <f t="shared" si="43"/>
        <v>5661.054520669104</v>
      </c>
      <c r="AS44" s="144">
        <f t="shared" si="43"/>
        <v>6057.3283371159414</v>
      </c>
      <c r="AT44" s="143">
        <f t="shared" si="43"/>
        <v>6481.3413207140566</v>
      </c>
      <c r="AU44" s="143">
        <f t="shared" si="43"/>
        <v>6935.0352131640429</v>
      </c>
      <c r="AV44" s="143">
        <f t="shared" si="43"/>
        <v>7420.4876780855257</v>
      </c>
      <c r="AW44" s="144">
        <f t="shared" si="43"/>
        <v>7939.9218155515118</v>
      </c>
      <c r="AX44" s="143">
        <f t="shared" si="43"/>
        <v>8495.7163426401185</v>
      </c>
      <c r="AY44" s="143">
        <f t="shared" si="43"/>
        <v>9090.4164866249266</v>
      </c>
      <c r="AZ44" s="143">
        <f t="shared" si="43"/>
        <v>9726.7456406886722</v>
      </c>
      <c r="BA44" s="144">
        <f t="shared" si="43"/>
        <v>10407.617835536879</v>
      </c>
      <c r="BB44" s="143">
        <f t="shared" si="43"/>
        <v>11136.151084024463</v>
      </c>
      <c r="BC44" s="143">
        <f t="shared" si="43"/>
        <v>11915.681659906179</v>
      </c>
      <c r="BD44" s="143">
        <f t="shared" si="43"/>
        <v>12749.77937609961</v>
      </c>
      <c r="BE44" s="144">
        <f t="shared" si="43"/>
        <v>13642.263932426582</v>
      </c>
      <c r="BF44" s="143">
        <f t="shared" si="43"/>
        <v>14597.222407696443</v>
      </c>
      <c r="BG44" s="143">
        <f t="shared" si="43"/>
        <v>15619.027976235193</v>
      </c>
      <c r="BH44" s="143">
        <f t="shared" si="43"/>
        <v>16712.359934571658</v>
      </c>
      <c r="BI44" s="144">
        <f t="shared" si="43"/>
        <v>17882.225129991675</v>
      </c>
      <c r="BJ44" s="146"/>
    </row>
    <row r="45" spans="1:62" ht="15.75" customHeight="1" x14ac:dyDescent="0.2">
      <c r="A45" s="121" t="s">
        <v>59</v>
      </c>
      <c r="B45" s="95"/>
      <c r="C45" s="147"/>
      <c r="D45" s="148"/>
      <c r="E45" s="149"/>
      <c r="F45" s="149"/>
      <c r="G45" s="148"/>
      <c r="H45" s="148"/>
      <c r="I45" s="150"/>
      <c r="J45" s="150"/>
      <c r="K45" s="150"/>
      <c r="L45" s="151"/>
      <c r="M45" s="148"/>
      <c r="N45" s="150"/>
      <c r="O45" s="150"/>
      <c r="P45" s="151"/>
      <c r="Q45" s="152"/>
      <c r="R45" s="152"/>
      <c r="S45" s="152"/>
      <c r="T45" s="152"/>
      <c r="U45" s="153"/>
      <c r="V45" s="152"/>
      <c r="W45" s="152"/>
      <c r="X45" s="152"/>
      <c r="Y45" s="153"/>
      <c r="Z45" s="152"/>
      <c r="AA45" s="152"/>
      <c r="AB45" s="152"/>
      <c r="AC45" s="153"/>
      <c r="AD45" s="154"/>
      <c r="AE45" s="152"/>
      <c r="AF45" s="152"/>
      <c r="AG45" s="153"/>
      <c r="AH45" s="152"/>
      <c r="AI45" s="152"/>
      <c r="AJ45" s="152"/>
      <c r="AK45" s="153"/>
      <c r="AL45" s="152"/>
      <c r="AM45" s="152"/>
      <c r="AN45" s="152"/>
      <c r="AO45" s="153"/>
      <c r="AP45" s="154"/>
      <c r="AQ45" s="152"/>
      <c r="AR45" s="152"/>
      <c r="AS45" s="153"/>
      <c r="AT45" s="152"/>
      <c r="AU45" s="152"/>
      <c r="AV45" s="152"/>
      <c r="AW45" s="153"/>
      <c r="AX45" s="152"/>
      <c r="AY45" s="152"/>
      <c r="AZ45" s="152"/>
      <c r="BA45" s="153"/>
      <c r="BB45" s="152"/>
      <c r="BC45" s="152"/>
      <c r="BD45" s="152"/>
      <c r="BE45" s="153"/>
      <c r="BF45" s="152"/>
      <c r="BG45" s="152"/>
      <c r="BH45" s="152"/>
      <c r="BI45" s="153"/>
      <c r="BJ45" s="155"/>
    </row>
    <row r="46" spans="1:62" ht="15.75" customHeight="1" x14ac:dyDescent="0.2">
      <c r="A46" s="156">
        <v>0.1</v>
      </c>
      <c r="B46" s="157" t="s">
        <v>60</v>
      </c>
      <c r="C46" s="158"/>
      <c r="D46" s="159"/>
      <c r="E46" s="160"/>
      <c r="F46" s="160"/>
      <c r="G46" s="159"/>
      <c r="H46" s="159"/>
      <c r="I46" s="160"/>
      <c r="J46" s="160"/>
      <c r="K46" s="160"/>
      <c r="L46" s="161"/>
      <c r="M46" s="159"/>
      <c r="N46" s="160"/>
      <c r="O46" s="160"/>
      <c r="P46" s="161"/>
      <c r="Q46" s="162"/>
      <c r="R46" s="162"/>
      <c r="S46" s="162"/>
      <c r="T46" s="162"/>
      <c r="U46" s="163"/>
      <c r="V46" s="162"/>
      <c r="W46" s="162"/>
      <c r="X46" s="162"/>
      <c r="Y46" s="163"/>
      <c r="Z46" s="162"/>
      <c r="AA46" s="162"/>
      <c r="AB46" s="162"/>
      <c r="AC46" s="163"/>
      <c r="AD46" s="164"/>
      <c r="AE46" s="162"/>
      <c r="AF46" s="162"/>
      <c r="AG46" s="163"/>
      <c r="AH46" s="162"/>
      <c r="AI46" s="162"/>
      <c r="AJ46" s="162"/>
      <c r="AK46" s="163"/>
      <c r="AL46" s="162"/>
      <c r="AM46" s="162"/>
      <c r="AN46" s="162"/>
      <c r="AO46" s="163"/>
      <c r="AP46" s="164"/>
      <c r="AQ46" s="162"/>
      <c r="AR46" s="162"/>
      <c r="AS46" s="163"/>
      <c r="AT46" s="162"/>
      <c r="AU46" s="162"/>
      <c r="AV46" s="162"/>
      <c r="AW46" s="163"/>
      <c r="AX46" s="162"/>
      <c r="AY46" s="162"/>
      <c r="AZ46" s="162"/>
      <c r="BA46" s="163"/>
      <c r="BB46" s="162"/>
      <c r="BC46" s="162"/>
      <c r="BD46" s="162"/>
      <c r="BE46" s="163"/>
      <c r="BF46" s="162"/>
      <c r="BG46" s="162"/>
      <c r="BH46" s="162"/>
      <c r="BI46" s="163"/>
      <c r="BJ46" s="129"/>
    </row>
    <row r="47" spans="1:62" ht="15.75" customHeight="1" x14ac:dyDescent="0.2">
      <c r="A47" s="455" t="s">
        <v>0</v>
      </c>
      <c r="B47" s="165" t="s">
        <v>41</v>
      </c>
      <c r="C47" s="166">
        <f>C7</f>
        <v>840</v>
      </c>
      <c r="D47" s="167">
        <v>324</v>
      </c>
      <c r="E47" s="168">
        <f>E27</f>
        <v>1242</v>
      </c>
      <c r="F47" s="168">
        <f t="shared" ref="F47:H47" si="44">F7</f>
        <v>840</v>
      </c>
      <c r="G47" s="167">
        <f t="shared" si="44"/>
        <v>420</v>
      </c>
      <c r="H47" s="167">
        <f t="shared" si="44"/>
        <v>659</v>
      </c>
      <c r="I47" s="168"/>
      <c r="J47" s="168"/>
      <c r="K47" s="168"/>
      <c r="L47" s="169"/>
      <c r="M47" s="167">
        <v>356</v>
      </c>
      <c r="N47" s="168"/>
      <c r="O47" s="168"/>
      <c r="P47" s="169"/>
      <c r="Q47" s="170">
        <f>Q27</f>
        <v>4382</v>
      </c>
      <c r="R47" s="170"/>
      <c r="S47" s="170"/>
      <c r="T47" s="170"/>
      <c r="U47" s="171">
        <f>U27</f>
        <v>2380.3978598399999</v>
      </c>
      <c r="V47" s="170"/>
      <c r="W47" s="170"/>
      <c r="X47" s="170"/>
      <c r="Y47" s="171">
        <f>Y27</f>
        <v>2784.7288125395048</v>
      </c>
      <c r="Z47" s="170"/>
      <c r="AA47" s="170"/>
      <c r="AB47" s="170"/>
      <c r="AC47" s="171">
        <f>AC27</f>
        <v>3257.7388386279749</v>
      </c>
      <c r="AD47" s="172"/>
      <c r="AE47" s="170"/>
      <c r="AF47" s="170"/>
      <c r="AG47" s="171">
        <f>AG27</f>
        <v>4273.1196204402995</v>
      </c>
      <c r="AH47" s="170"/>
      <c r="AI47" s="170"/>
      <c r="AJ47" s="170"/>
      <c r="AK47" s="171">
        <f>AK27</f>
        <v>5711.077147176451</v>
      </c>
      <c r="AL47" s="170"/>
      <c r="AM47" s="170"/>
      <c r="AN47" s="170"/>
      <c r="AO47" s="171">
        <f>AO27</f>
        <v>7486.0571373210769</v>
      </c>
      <c r="AP47" s="172"/>
      <c r="AQ47" s="170"/>
      <c r="AR47" s="170"/>
      <c r="AS47" s="171">
        <f>AS27</f>
        <v>9812.6938262324929</v>
      </c>
      <c r="AT47" s="170"/>
      <c r="AU47" s="170"/>
      <c r="AV47" s="170"/>
      <c r="AW47" s="171">
        <f>AW27</f>
        <v>12862.439914777184</v>
      </c>
      <c r="AX47" s="170"/>
      <c r="AY47" s="170"/>
      <c r="AZ47" s="170"/>
      <c r="BA47" s="171">
        <f>BA27</f>
        <v>16860.034919154677</v>
      </c>
      <c r="BB47" s="170"/>
      <c r="BC47" s="170"/>
      <c r="BD47" s="170"/>
      <c r="BE47" s="171">
        <f>BE27</f>
        <v>22100.066500488625</v>
      </c>
      <c r="BF47" s="170"/>
      <c r="BG47" s="170"/>
      <c r="BH47" s="170"/>
      <c r="BI47" s="171">
        <f>BI27</f>
        <v>28968.678989575164</v>
      </c>
      <c r="BJ47" s="173"/>
    </row>
    <row r="48" spans="1:62" ht="15.75" customHeight="1" x14ac:dyDescent="0.2">
      <c r="A48" s="456"/>
      <c r="B48" s="174" t="s">
        <v>42</v>
      </c>
      <c r="C48" s="175"/>
      <c r="D48" s="175"/>
      <c r="E48" s="175"/>
      <c r="F48" s="175"/>
      <c r="G48" s="175"/>
      <c r="H48" s="175"/>
      <c r="I48" s="175"/>
      <c r="J48" s="175"/>
      <c r="K48" s="175"/>
      <c r="L48" s="176"/>
      <c r="M48" s="177"/>
      <c r="N48" s="175"/>
      <c r="O48" s="175"/>
      <c r="P48" s="176"/>
      <c r="Q48" s="178"/>
      <c r="R48" s="179"/>
      <c r="S48" s="179"/>
      <c r="T48" s="179"/>
      <c r="U48" s="180"/>
      <c r="V48" s="178"/>
      <c r="W48" s="179"/>
      <c r="X48" s="179"/>
      <c r="Y48" s="180"/>
      <c r="Z48" s="178"/>
      <c r="AA48" s="179"/>
      <c r="AB48" s="179"/>
      <c r="AC48" s="180"/>
      <c r="AD48" s="181"/>
      <c r="AE48" s="179"/>
      <c r="AF48" s="179"/>
      <c r="AG48" s="180"/>
      <c r="AH48" s="178"/>
      <c r="AI48" s="179"/>
      <c r="AJ48" s="179"/>
      <c r="AK48" s="180"/>
      <c r="AL48" s="178"/>
      <c r="AM48" s="179"/>
      <c r="AN48" s="179"/>
      <c r="AO48" s="180"/>
      <c r="AP48" s="181"/>
      <c r="AQ48" s="179"/>
      <c r="AR48" s="179"/>
      <c r="AS48" s="180"/>
      <c r="AT48" s="178"/>
      <c r="AU48" s="179"/>
      <c r="AV48" s="179"/>
      <c r="AW48" s="180"/>
      <c r="AX48" s="178"/>
      <c r="AY48" s="179"/>
      <c r="AZ48" s="179"/>
      <c r="BA48" s="180"/>
      <c r="BB48" s="178"/>
      <c r="BC48" s="179"/>
      <c r="BD48" s="179"/>
      <c r="BE48" s="180"/>
      <c r="BF48" s="178"/>
      <c r="BG48" s="179"/>
      <c r="BH48" s="179"/>
      <c r="BI48" s="180"/>
      <c r="BJ48" s="182"/>
    </row>
    <row r="49" spans="1:62" ht="15.75" customHeight="1" x14ac:dyDescent="0.2">
      <c r="A49" s="183"/>
      <c r="B49" s="95"/>
      <c r="C49" s="175"/>
      <c r="D49" s="184"/>
      <c r="E49" s="184"/>
      <c r="F49" s="184"/>
      <c r="G49" s="185" t="s">
        <v>61</v>
      </c>
      <c r="H49" s="184"/>
      <c r="I49" s="184"/>
      <c r="J49" s="184"/>
      <c r="K49" s="184"/>
      <c r="L49" s="186"/>
      <c r="M49" s="167"/>
      <c r="N49" s="184"/>
      <c r="O49" s="184"/>
      <c r="P49" s="186"/>
      <c r="Q49" s="187"/>
      <c r="R49" s="188"/>
      <c r="S49" s="187"/>
      <c r="T49" s="187"/>
      <c r="U49" s="189"/>
      <c r="V49" s="187"/>
      <c r="W49" s="187"/>
      <c r="X49" s="187"/>
      <c r="Y49" s="189"/>
      <c r="Z49" s="187"/>
      <c r="AA49" s="187"/>
      <c r="AB49" s="187"/>
      <c r="AC49" s="190"/>
      <c r="AD49" s="191"/>
      <c r="AE49" s="187"/>
      <c r="AF49" s="187"/>
      <c r="AG49" s="189"/>
      <c r="AH49" s="187"/>
      <c r="AI49" s="187"/>
      <c r="AJ49" s="187"/>
      <c r="AK49" s="189"/>
      <c r="AL49" s="187"/>
      <c r="AM49" s="187"/>
      <c r="AN49" s="187"/>
      <c r="AO49" s="189"/>
      <c r="AP49" s="191"/>
      <c r="AQ49" s="187"/>
      <c r="AR49" s="187"/>
      <c r="AS49" s="189"/>
      <c r="AT49" s="187"/>
      <c r="AU49" s="187"/>
      <c r="AV49" s="187"/>
      <c r="AW49" s="189"/>
      <c r="AX49" s="187"/>
      <c r="AY49" s="187"/>
      <c r="AZ49" s="187"/>
      <c r="BA49" s="189"/>
      <c r="BB49" s="187"/>
      <c r="BC49" s="187"/>
      <c r="BD49" s="187"/>
      <c r="BE49" s="189"/>
      <c r="BF49" s="187"/>
      <c r="BG49" s="187"/>
      <c r="BH49" s="187"/>
      <c r="BI49" s="189"/>
      <c r="BJ49" s="187"/>
    </row>
    <row r="50" spans="1:62" ht="15.75" customHeight="1" x14ac:dyDescent="0.2">
      <c r="A50" s="457" t="s">
        <v>62</v>
      </c>
      <c r="B50" s="192" t="s">
        <v>46</v>
      </c>
      <c r="C50" s="167"/>
      <c r="D50" s="168"/>
      <c r="E50" s="168"/>
      <c r="F50" s="168"/>
      <c r="G50" s="193"/>
      <c r="H50" s="168"/>
      <c r="I50" s="168"/>
      <c r="J50" s="168"/>
      <c r="K50" s="168"/>
      <c r="L50" s="194"/>
      <c r="M50" s="167">
        <v>658</v>
      </c>
      <c r="N50" s="168"/>
      <c r="O50" s="168"/>
      <c r="P50" s="194"/>
      <c r="Q50" s="173"/>
      <c r="R50" s="188"/>
      <c r="S50" s="195"/>
      <c r="T50" s="195"/>
      <c r="U50" s="196"/>
      <c r="V50" s="195"/>
      <c r="W50" s="195"/>
      <c r="X50" s="173"/>
      <c r="Y50" s="197"/>
      <c r="Z50" s="173">
        <v>180</v>
      </c>
      <c r="AA50" s="173"/>
      <c r="AB50" s="173"/>
      <c r="AC50" s="198"/>
      <c r="AD50" s="199">
        <v>180</v>
      </c>
      <c r="AE50" s="173"/>
      <c r="AF50" s="173"/>
      <c r="AG50" s="197"/>
      <c r="AH50" s="173">
        <v>180</v>
      </c>
      <c r="AI50" s="173"/>
      <c r="AJ50" s="173"/>
      <c r="AK50" s="197"/>
      <c r="AL50" s="173">
        <v>180</v>
      </c>
      <c r="AM50" s="173"/>
      <c r="AN50" s="173"/>
      <c r="AO50" s="197"/>
      <c r="AP50" s="173">
        <v>180</v>
      </c>
      <c r="AQ50" s="173"/>
      <c r="AR50" s="173"/>
      <c r="AS50" s="197"/>
      <c r="AT50" s="173">
        <v>180</v>
      </c>
      <c r="AU50" s="173"/>
      <c r="AV50" s="173"/>
      <c r="AW50" s="197"/>
      <c r="AX50" s="173">
        <v>180</v>
      </c>
      <c r="AY50" s="173"/>
      <c r="AZ50" s="173"/>
      <c r="BA50" s="197"/>
      <c r="BB50" s="173">
        <v>180</v>
      </c>
      <c r="BC50" s="173"/>
      <c r="BD50" s="173"/>
      <c r="BE50" s="197"/>
      <c r="BF50" s="173">
        <v>180</v>
      </c>
      <c r="BG50" s="173"/>
      <c r="BH50" s="173"/>
      <c r="BI50" s="197"/>
      <c r="BJ50" s="173"/>
    </row>
    <row r="51" spans="1:62" ht="15.75" customHeight="1" x14ac:dyDescent="0.2">
      <c r="A51" s="447"/>
      <c r="B51" s="95" t="s">
        <v>47</v>
      </c>
      <c r="C51" s="166"/>
      <c r="D51" s="167"/>
      <c r="E51" s="167"/>
      <c r="F51" s="167"/>
      <c r="G51" s="193"/>
      <c r="H51" s="167"/>
      <c r="I51" s="167">
        <f>74+74</f>
        <v>148</v>
      </c>
      <c r="J51" s="167"/>
      <c r="K51" s="167"/>
      <c r="L51" s="169"/>
      <c r="M51" s="167">
        <v>610</v>
      </c>
      <c r="N51" s="168"/>
      <c r="O51" s="168"/>
      <c r="P51" s="169"/>
      <c r="Q51" s="170">
        <v>418</v>
      </c>
      <c r="R51" s="188"/>
      <c r="S51" s="188"/>
      <c r="T51" s="188"/>
      <c r="U51" s="200"/>
      <c r="V51" s="188">
        <v>146</v>
      </c>
      <c r="W51" s="188"/>
      <c r="X51" s="170"/>
      <c r="Y51" s="171"/>
      <c r="Z51" s="170"/>
      <c r="AA51" s="170"/>
      <c r="AB51" s="170"/>
      <c r="AC51" s="201"/>
      <c r="AD51" s="172"/>
      <c r="AE51" s="170"/>
      <c r="AF51" s="170"/>
      <c r="AG51" s="171"/>
      <c r="AH51" s="170"/>
      <c r="AI51" s="170"/>
      <c r="AJ51" s="170"/>
      <c r="AK51" s="171"/>
      <c r="AL51" s="170"/>
      <c r="AM51" s="170"/>
      <c r="AN51" s="170"/>
      <c r="AO51" s="171"/>
      <c r="AP51" s="172"/>
      <c r="AQ51" s="170"/>
      <c r="AR51" s="170"/>
      <c r="AS51" s="171"/>
      <c r="AT51" s="170"/>
      <c r="AU51" s="170"/>
      <c r="AV51" s="170"/>
      <c r="AW51" s="171"/>
      <c r="AX51" s="170"/>
      <c r="AY51" s="170"/>
      <c r="AZ51" s="170"/>
      <c r="BA51" s="171"/>
      <c r="BB51" s="170"/>
      <c r="BC51" s="170"/>
      <c r="BD51" s="170"/>
      <c r="BE51" s="171"/>
      <c r="BF51" s="170"/>
      <c r="BG51" s="170"/>
      <c r="BH51" s="170"/>
      <c r="BI51" s="171"/>
      <c r="BJ51" s="173"/>
    </row>
    <row r="52" spans="1:62" ht="15.75" customHeight="1" x14ac:dyDescent="0.2">
      <c r="A52" s="447"/>
      <c r="B52" s="95" t="s">
        <v>48</v>
      </c>
      <c r="C52" s="175"/>
      <c r="D52" s="177">
        <v>173</v>
      </c>
      <c r="E52" s="177"/>
      <c r="F52" s="177"/>
      <c r="G52" s="177"/>
      <c r="H52" s="177">
        <v>173</v>
      </c>
      <c r="I52" s="177"/>
      <c r="J52" s="177"/>
      <c r="K52" s="177"/>
      <c r="L52" s="202">
        <v>173</v>
      </c>
      <c r="M52" s="177"/>
      <c r="N52" s="203"/>
      <c r="O52" s="203"/>
      <c r="P52" s="202"/>
      <c r="Q52" s="204">
        <v>167</v>
      </c>
      <c r="R52" s="204"/>
      <c r="S52" s="204"/>
      <c r="T52" s="204"/>
      <c r="U52" s="205">
        <v>173</v>
      </c>
      <c r="V52" s="204"/>
      <c r="W52" s="204"/>
      <c r="X52" s="204"/>
      <c r="Y52" s="205">
        <v>173</v>
      </c>
      <c r="Z52" s="204"/>
      <c r="AA52" s="204"/>
      <c r="AB52" s="204"/>
      <c r="AC52" s="205">
        <v>173</v>
      </c>
      <c r="AD52" s="181"/>
      <c r="AE52" s="204"/>
      <c r="AF52" s="204"/>
      <c r="AG52" s="205">
        <v>175</v>
      </c>
      <c r="AH52" s="204">
        <v>175</v>
      </c>
      <c r="AI52" s="204">
        <v>175</v>
      </c>
      <c r="AJ52" s="204">
        <v>175</v>
      </c>
      <c r="AK52" s="205">
        <v>175</v>
      </c>
      <c r="AL52" s="204">
        <v>175</v>
      </c>
      <c r="AM52" s="204">
        <v>175</v>
      </c>
      <c r="AN52" s="204">
        <v>175</v>
      </c>
      <c r="AO52" s="205">
        <v>175</v>
      </c>
      <c r="AP52" s="181">
        <v>175</v>
      </c>
      <c r="AQ52" s="204">
        <v>175</v>
      </c>
      <c r="AR52" s="204">
        <v>175</v>
      </c>
      <c r="AS52" s="205">
        <v>175</v>
      </c>
      <c r="AT52" s="204">
        <v>175</v>
      </c>
      <c r="AU52" s="204">
        <v>175</v>
      </c>
      <c r="AV52" s="204">
        <v>175</v>
      </c>
      <c r="AW52" s="205">
        <v>175</v>
      </c>
      <c r="AX52" s="204">
        <v>175</v>
      </c>
      <c r="AY52" s="204">
        <v>175</v>
      </c>
      <c r="AZ52" s="204">
        <v>175</v>
      </c>
      <c r="BA52" s="205">
        <v>175</v>
      </c>
      <c r="BB52" s="204">
        <v>175</v>
      </c>
      <c r="BC52" s="204">
        <v>175</v>
      </c>
      <c r="BD52" s="204">
        <v>175</v>
      </c>
      <c r="BE52" s="205">
        <v>175</v>
      </c>
      <c r="BF52" s="204">
        <v>175</v>
      </c>
      <c r="BG52" s="204">
        <v>175</v>
      </c>
      <c r="BH52" s="204">
        <v>175</v>
      </c>
      <c r="BI52" s="205">
        <v>175</v>
      </c>
      <c r="BJ52" s="206"/>
    </row>
    <row r="53" spans="1:62" ht="15.75" customHeight="1" x14ac:dyDescent="0.2">
      <c r="A53" s="447"/>
      <c r="B53" s="95" t="s">
        <v>1</v>
      </c>
      <c r="C53" s="175">
        <f t="shared" ref="C53:X53" si="45">C5*0.06</f>
        <v>152.72727272727272</v>
      </c>
      <c r="D53" s="177">
        <f t="shared" si="45"/>
        <v>193.14</v>
      </c>
      <c r="E53" s="177">
        <f t="shared" si="45"/>
        <v>144.72</v>
      </c>
      <c r="F53" s="177">
        <f t="shared" si="45"/>
        <v>114.3</v>
      </c>
      <c r="G53" s="177">
        <f t="shared" si="45"/>
        <v>132.35999999999999</v>
      </c>
      <c r="H53" s="177">
        <f t="shared" si="45"/>
        <v>102.11999999999999</v>
      </c>
      <c r="I53" s="177">
        <f t="shared" si="45"/>
        <v>104.88</v>
      </c>
      <c r="J53" s="177">
        <f t="shared" si="45"/>
        <v>99.96</v>
      </c>
      <c r="K53" s="177">
        <f t="shared" si="45"/>
        <v>89.94</v>
      </c>
      <c r="L53" s="202">
        <f t="shared" si="45"/>
        <v>114.83999999999999</v>
      </c>
      <c r="M53" s="177">
        <f t="shared" si="45"/>
        <v>85.5</v>
      </c>
      <c r="N53" s="177">
        <f t="shared" si="45"/>
        <v>113.58</v>
      </c>
      <c r="O53" s="177">
        <f t="shared" si="45"/>
        <v>95.58</v>
      </c>
      <c r="P53" s="202">
        <f t="shared" si="45"/>
        <v>97.999999999999986</v>
      </c>
      <c r="Q53" s="178">
        <f t="shared" si="45"/>
        <v>101.91999999999999</v>
      </c>
      <c r="R53" s="178">
        <f t="shared" si="45"/>
        <v>105.99680000000001</v>
      </c>
      <c r="S53" s="178">
        <f t="shared" si="45"/>
        <v>110.23667199999998</v>
      </c>
      <c r="T53" s="178">
        <f t="shared" si="45"/>
        <v>114.64613888000001</v>
      </c>
      <c r="U53" s="207">
        <f t="shared" si="45"/>
        <v>119.23198443520002</v>
      </c>
      <c r="V53" s="178">
        <f t="shared" si="45"/>
        <v>124.00126381260803</v>
      </c>
      <c r="W53" s="178">
        <f t="shared" si="45"/>
        <v>128.96131436511234</v>
      </c>
      <c r="X53" s="178">
        <f t="shared" si="45"/>
        <v>134.11976693971681</v>
      </c>
      <c r="Y53" s="208">
        <f>X34-12897</f>
        <v>2851.0058265070802</v>
      </c>
      <c r="Z53" s="178">
        <f t="shared" ref="Z53:BI53" si="46">Z5*0.06</f>
        <v>145.06393992199773</v>
      </c>
      <c r="AA53" s="178">
        <f t="shared" si="46"/>
        <v>150.86649751887765</v>
      </c>
      <c r="AB53" s="178">
        <f t="shared" si="46"/>
        <v>156.90115741963277</v>
      </c>
      <c r="AC53" s="207">
        <f t="shared" si="46"/>
        <v>163.17720371641809</v>
      </c>
      <c r="AD53" s="181">
        <f t="shared" si="46"/>
        <v>190.90909090909088</v>
      </c>
      <c r="AE53" s="178">
        <f t="shared" si="46"/>
        <v>204.27272727272725</v>
      </c>
      <c r="AF53" s="178">
        <f t="shared" si="46"/>
        <v>218.57181818181814</v>
      </c>
      <c r="AG53" s="207">
        <f t="shared" si="46"/>
        <v>233.87184545454548</v>
      </c>
      <c r="AH53" s="178">
        <f t="shared" si="46"/>
        <v>250.24287463636367</v>
      </c>
      <c r="AI53" s="178">
        <f t="shared" si="46"/>
        <v>267.75987586090912</v>
      </c>
      <c r="AJ53" s="178">
        <f t="shared" si="46"/>
        <v>286.5030671711728</v>
      </c>
      <c r="AK53" s="207">
        <f t="shared" si="46"/>
        <v>306.55828187315495</v>
      </c>
      <c r="AL53" s="178">
        <f t="shared" si="46"/>
        <v>328.01736160427578</v>
      </c>
      <c r="AM53" s="178">
        <f t="shared" si="46"/>
        <v>350.97857691657515</v>
      </c>
      <c r="AN53" s="178">
        <f t="shared" si="46"/>
        <v>375.5470773007354</v>
      </c>
      <c r="AO53" s="207">
        <f t="shared" si="46"/>
        <v>401.83537271178693</v>
      </c>
      <c r="AP53" s="181">
        <f t="shared" si="46"/>
        <v>429.96384880161196</v>
      </c>
      <c r="AQ53" s="178">
        <f t="shared" si="46"/>
        <v>460.06131821772482</v>
      </c>
      <c r="AR53" s="178">
        <f t="shared" si="46"/>
        <v>492.26561049296555</v>
      </c>
      <c r="AS53" s="207">
        <f t="shared" si="46"/>
        <v>526.72420322747314</v>
      </c>
      <c r="AT53" s="178">
        <f t="shared" si="46"/>
        <v>563.59489745339624</v>
      </c>
      <c r="AU53" s="178">
        <f t="shared" si="46"/>
        <v>603.04654027513413</v>
      </c>
      <c r="AV53" s="178">
        <f t="shared" si="46"/>
        <v>645.25979809439355</v>
      </c>
      <c r="AW53" s="207">
        <f t="shared" si="46"/>
        <v>690.42798396100102</v>
      </c>
      <c r="AX53" s="178">
        <f t="shared" si="46"/>
        <v>738.75794283827122</v>
      </c>
      <c r="AY53" s="178">
        <f t="shared" si="46"/>
        <v>790.47099883695023</v>
      </c>
      <c r="AZ53" s="178">
        <f t="shared" si="46"/>
        <v>845.80396875553674</v>
      </c>
      <c r="BA53" s="207">
        <f t="shared" si="46"/>
        <v>905.01024656842435</v>
      </c>
      <c r="BB53" s="178">
        <f t="shared" si="46"/>
        <v>968.36096382821415</v>
      </c>
      <c r="BC53" s="178">
        <f t="shared" si="46"/>
        <v>1036.1462312961894</v>
      </c>
      <c r="BD53" s="178">
        <f t="shared" si="46"/>
        <v>1108.6764674869225</v>
      </c>
      <c r="BE53" s="207">
        <f t="shared" si="46"/>
        <v>1186.2838202110072</v>
      </c>
      <c r="BF53" s="178">
        <f t="shared" si="46"/>
        <v>1269.3236876257777</v>
      </c>
      <c r="BG53" s="178">
        <f t="shared" si="46"/>
        <v>1358.1763457595821</v>
      </c>
      <c r="BH53" s="178">
        <f t="shared" si="46"/>
        <v>1453.2486899627529</v>
      </c>
      <c r="BI53" s="207">
        <f t="shared" si="46"/>
        <v>1554.9760982601456</v>
      </c>
      <c r="BJ53" s="182"/>
    </row>
    <row r="54" spans="1:62" ht="15.75" customHeight="1" x14ac:dyDescent="0.2">
      <c r="A54" s="456"/>
      <c r="B54" s="174" t="s">
        <v>63</v>
      </c>
      <c r="C54" s="166"/>
      <c r="D54" s="166"/>
      <c r="E54" s="167"/>
      <c r="F54" s="166"/>
      <c r="G54" s="177"/>
      <c r="H54" s="166"/>
      <c r="I54" s="167"/>
      <c r="J54" s="166"/>
      <c r="K54" s="166"/>
      <c r="L54" s="209"/>
      <c r="M54" s="167"/>
      <c r="N54" s="166"/>
      <c r="O54" s="166"/>
      <c r="P54" s="209"/>
      <c r="Q54" s="170"/>
      <c r="R54" s="210"/>
      <c r="S54" s="210"/>
      <c r="T54" s="210"/>
      <c r="U54" s="211"/>
      <c r="V54" s="170"/>
      <c r="W54" s="210"/>
      <c r="X54" s="210"/>
      <c r="Y54" s="211"/>
      <c r="Z54" s="170"/>
      <c r="AA54" s="210"/>
      <c r="AB54" s="210"/>
      <c r="AC54" s="211"/>
      <c r="AD54" s="172"/>
      <c r="AE54" s="210"/>
      <c r="AF54" s="210"/>
      <c r="AG54" s="211"/>
      <c r="AH54" s="170"/>
      <c r="AI54" s="210"/>
      <c r="AJ54" s="210"/>
      <c r="AK54" s="211"/>
      <c r="AL54" s="170"/>
      <c r="AM54" s="210"/>
      <c r="AN54" s="210"/>
      <c r="AO54" s="211"/>
      <c r="AP54" s="172"/>
      <c r="AQ54" s="210"/>
      <c r="AR54" s="210"/>
      <c r="AS54" s="211"/>
      <c r="AT54" s="170"/>
      <c r="AU54" s="210"/>
      <c r="AV54" s="210"/>
      <c r="AW54" s="211"/>
      <c r="AX54" s="170"/>
      <c r="AY54" s="210"/>
      <c r="AZ54" s="210"/>
      <c r="BA54" s="211"/>
      <c r="BB54" s="170"/>
      <c r="BC54" s="210"/>
      <c r="BD54" s="210"/>
      <c r="BE54" s="211"/>
      <c r="BF54" s="170"/>
      <c r="BG54" s="210"/>
      <c r="BH54" s="210"/>
      <c r="BI54" s="211"/>
      <c r="BJ54" s="173"/>
    </row>
    <row r="55" spans="1:62" ht="15.75" customHeight="1" x14ac:dyDescent="0.2">
      <c r="A55" s="22" t="s">
        <v>64</v>
      </c>
      <c r="B55" s="157"/>
      <c r="C55" s="166"/>
      <c r="D55" s="167"/>
      <c r="E55" s="167"/>
      <c r="F55" s="167"/>
      <c r="G55" s="167"/>
      <c r="H55" s="167"/>
      <c r="I55" s="167"/>
      <c r="J55" s="167"/>
      <c r="K55" s="167"/>
      <c r="L55" s="169"/>
      <c r="M55" s="167"/>
      <c r="N55" s="212"/>
      <c r="O55" s="212"/>
      <c r="P55" s="213"/>
      <c r="Q55" s="214"/>
      <c r="R55" s="214"/>
      <c r="S55" s="214"/>
      <c r="T55" s="214"/>
      <c r="U55" s="201"/>
      <c r="V55" s="214"/>
      <c r="W55" s="214"/>
      <c r="X55" s="214"/>
      <c r="Y55" s="201"/>
      <c r="Z55" s="214"/>
      <c r="AA55" s="214"/>
      <c r="AB55" s="214"/>
      <c r="AC55" s="171"/>
      <c r="AD55" s="215"/>
      <c r="AE55" s="214"/>
      <c r="AF55" s="214"/>
      <c r="AG55" s="216"/>
      <c r="AH55" s="214"/>
      <c r="AI55" s="214"/>
      <c r="AJ55" s="214"/>
      <c r="AK55" s="216"/>
      <c r="AL55" s="214"/>
      <c r="AM55" s="214"/>
      <c r="AN55" s="214"/>
      <c r="AO55" s="216"/>
      <c r="AP55" s="215"/>
      <c r="AQ55" s="214"/>
      <c r="AR55" s="214"/>
      <c r="AS55" s="216"/>
      <c r="AT55" s="214"/>
      <c r="AU55" s="214"/>
      <c r="AV55" s="214"/>
      <c r="AW55" s="216"/>
      <c r="AX55" s="214"/>
      <c r="AY55" s="214"/>
      <c r="AZ55" s="214"/>
      <c r="BA55" s="216"/>
      <c r="BB55" s="214"/>
      <c r="BC55" s="214"/>
      <c r="BD55" s="214"/>
      <c r="BE55" s="216"/>
      <c r="BF55" s="214"/>
      <c r="BG55" s="214"/>
      <c r="BH55" s="214"/>
      <c r="BI55" s="216"/>
      <c r="BJ55" s="217"/>
    </row>
    <row r="56" spans="1:62" ht="15.75" customHeight="1" x14ac:dyDescent="0.2">
      <c r="A56" s="29">
        <v>0</v>
      </c>
      <c r="B56" s="157"/>
      <c r="C56" s="166"/>
      <c r="D56" s="167"/>
      <c r="E56" s="167"/>
      <c r="F56" s="167"/>
      <c r="G56" s="167"/>
      <c r="H56" s="167"/>
      <c r="I56" s="167"/>
      <c r="J56" s="167"/>
      <c r="K56" s="167"/>
      <c r="L56" s="169"/>
      <c r="M56" s="167"/>
      <c r="N56" s="212"/>
      <c r="O56" s="212"/>
      <c r="P56" s="213"/>
      <c r="Q56" s="214"/>
      <c r="R56" s="214"/>
      <c r="S56" s="214"/>
      <c r="T56" s="214"/>
      <c r="U56" s="201"/>
      <c r="V56" s="214"/>
      <c r="W56" s="214"/>
      <c r="X56" s="214"/>
      <c r="Y56" s="201"/>
      <c r="Z56" s="214"/>
      <c r="AA56" s="214"/>
      <c r="AB56" s="214"/>
      <c r="AC56" s="171"/>
      <c r="AD56" s="215"/>
      <c r="AE56" s="214"/>
      <c r="AF56" s="214"/>
      <c r="AG56" s="216"/>
      <c r="AH56" s="214"/>
      <c r="AI56" s="214"/>
      <c r="AJ56" s="214"/>
      <c r="AK56" s="216"/>
      <c r="AL56" s="214"/>
      <c r="AM56" s="214"/>
      <c r="AN56" s="214"/>
      <c r="AO56" s="216"/>
      <c r="AP56" s="215"/>
      <c r="AQ56" s="214"/>
      <c r="AR56" s="214"/>
      <c r="AS56" s="216"/>
      <c r="AT56" s="214"/>
      <c r="AU56" s="214"/>
      <c r="AV56" s="214"/>
      <c r="AW56" s="216"/>
      <c r="AX56" s="214"/>
      <c r="AY56" s="214"/>
      <c r="AZ56" s="214"/>
      <c r="BA56" s="216"/>
      <c r="BB56" s="214"/>
      <c r="BC56" s="214"/>
      <c r="BD56" s="214"/>
      <c r="BE56" s="216"/>
      <c r="BF56" s="214"/>
      <c r="BG56" s="214"/>
      <c r="BH56" s="214"/>
      <c r="BI56" s="216"/>
      <c r="BJ56" s="217"/>
    </row>
    <row r="57" spans="1:62" ht="15.75" customHeight="1" x14ac:dyDescent="0.2">
      <c r="A57" s="458" t="s">
        <v>65</v>
      </c>
      <c r="B57" s="218" t="s">
        <v>66</v>
      </c>
      <c r="C57" s="166"/>
      <c r="D57" s="219"/>
      <c r="E57" s="167">
        <v>0</v>
      </c>
      <c r="F57" s="167">
        <f>F7*$A$56</f>
        <v>0</v>
      </c>
      <c r="G57" s="167">
        <v>0</v>
      </c>
      <c r="H57" s="167">
        <f t="shared" ref="H57:BI57" si="47">H7*$A$56</f>
        <v>0</v>
      </c>
      <c r="I57" s="167">
        <f t="shared" si="47"/>
        <v>0</v>
      </c>
      <c r="J57" s="167">
        <f t="shared" si="47"/>
        <v>0</v>
      </c>
      <c r="K57" s="167">
        <f t="shared" si="47"/>
        <v>0</v>
      </c>
      <c r="L57" s="169">
        <f t="shared" si="47"/>
        <v>0</v>
      </c>
      <c r="M57" s="167">
        <f t="shared" si="47"/>
        <v>0</v>
      </c>
      <c r="N57" s="167">
        <f t="shared" si="47"/>
        <v>0</v>
      </c>
      <c r="O57" s="167">
        <f t="shared" si="47"/>
        <v>0</v>
      </c>
      <c r="P57" s="169">
        <f t="shared" si="47"/>
        <v>0</v>
      </c>
      <c r="Q57" s="188">
        <f t="shared" si="47"/>
        <v>0</v>
      </c>
      <c r="R57" s="188">
        <f t="shared" si="47"/>
        <v>0</v>
      </c>
      <c r="S57" s="188">
        <f t="shared" si="47"/>
        <v>0</v>
      </c>
      <c r="T57" s="188">
        <f t="shared" si="47"/>
        <v>0</v>
      </c>
      <c r="U57" s="200">
        <f t="shared" si="47"/>
        <v>0</v>
      </c>
      <c r="V57" s="188">
        <f t="shared" si="47"/>
        <v>0</v>
      </c>
      <c r="W57" s="188">
        <f t="shared" si="47"/>
        <v>0</v>
      </c>
      <c r="X57" s="188">
        <f t="shared" si="47"/>
        <v>0</v>
      </c>
      <c r="Y57" s="200">
        <f t="shared" si="47"/>
        <v>0</v>
      </c>
      <c r="Z57" s="188">
        <f t="shared" si="47"/>
        <v>0</v>
      </c>
      <c r="AA57" s="188">
        <f t="shared" si="47"/>
        <v>0</v>
      </c>
      <c r="AB57" s="188">
        <f t="shared" si="47"/>
        <v>0</v>
      </c>
      <c r="AC57" s="200">
        <f t="shared" si="47"/>
        <v>0</v>
      </c>
      <c r="AD57" s="172">
        <f t="shared" si="47"/>
        <v>0</v>
      </c>
      <c r="AE57" s="188">
        <f t="shared" si="47"/>
        <v>0</v>
      </c>
      <c r="AF57" s="188">
        <f t="shared" si="47"/>
        <v>0</v>
      </c>
      <c r="AG57" s="200">
        <f t="shared" si="47"/>
        <v>0</v>
      </c>
      <c r="AH57" s="188">
        <f t="shared" si="47"/>
        <v>0</v>
      </c>
      <c r="AI57" s="188">
        <f t="shared" si="47"/>
        <v>0</v>
      </c>
      <c r="AJ57" s="188">
        <f t="shared" si="47"/>
        <v>0</v>
      </c>
      <c r="AK57" s="200">
        <f t="shared" si="47"/>
        <v>0</v>
      </c>
      <c r="AL57" s="188">
        <f t="shared" si="47"/>
        <v>0</v>
      </c>
      <c r="AM57" s="188">
        <f t="shared" si="47"/>
        <v>0</v>
      </c>
      <c r="AN57" s="188">
        <f t="shared" si="47"/>
        <v>0</v>
      </c>
      <c r="AO57" s="200">
        <f t="shared" si="47"/>
        <v>0</v>
      </c>
      <c r="AP57" s="172">
        <f t="shared" si="47"/>
        <v>0</v>
      </c>
      <c r="AQ57" s="188">
        <f t="shared" si="47"/>
        <v>0</v>
      </c>
      <c r="AR57" s="188">
        <f t="shared" si="47"/>
        <v>0</v>
      </c>
      <c r="AS57" s="200">
        <f t="shared" si="47"/>
        <v>0</v>
      </c>
      <c r="AT57" s="188">
        <f t="shared" si="47"/>
        <v>0</v>
      </c>
      <c r="AU57" s="188">
        <f t="shared" si="47"/>
        <v>0</v>
      </c>
      <c r="AV57" s="188">
        <f t="shared" si="47"/>
        <v>0</v>
      </c>
      <c r="AW57" s="200">
        <f t="shared" si="47"/>
        <v>0</v>
      </c>
      <c r="AX57" s="188">
        <f t="shared" si="47"/>
        <v>0</v>
      </c>
      <c r="AY57" s="188">
        <f t="shared" si="47"/>
        <v>0</v>
      </c>
      <c r="AZ57" s="188">
        <f t="shared" si="47"/>
        <v>0</v>
      </c>
      <c r="BA57" s="200">
        <f t="shared" si="47"/>
        <v>0</v>
      </c>
      <c r="BB57" s="188">
        <f t="shared" si="47"/>
        <v>0</v>
      </c>
      <c r="BC57" s="188">
        <f t="shared" si="47"/>
        <v>0</v>
      </c>
      <c r="BD57" s="188">
        <f t="shared" si="47"/>
        <v>0</v>
      </c>
      <c r="BE57" s="200">
        <f t="shared" si="47"/>
        <v>0</v>
      </c>
      <c r="BF57" s="188">
        <f t="shared" si="47"/>
        <v>0</v>
      </c>
      <c r="BG57" s="188">
        <f t="shared" si="47"/>
        <v>0</v>
      </c>
      <c r="BH57" s="188">
        <f t="shared" si="47"/>
        <v>0</v>
      </c>
      <c r="BI57" s="200">
        <f t="shared" si="47"/>
        <v>0</v>
      </c>
      <c r="BJ57" s="195"/>
    </row>
    <row r="58" spans="1:62" ht="15.75" customHeight="1" x14ac:dyDescent="0.2">
      <c r="A58" s="447"/>
      <c r="B58" s="220" t="s">
        <v>67</v>
      </c>
      <c r="C58" s="166"/>
      <c r="D58" s="167"/>
      <c r="E58" s="167"/>
      <c r="F58" s="167"/>
      <c r="G58" s="167"/>
      <c r="H58" s="167"/>
      <c r="I58" s="167"/>
      <c r="J58" s="167"/>
      <c r="K58" s="167"/>
      <c r="L58" s="169"/>
      <c r="M58" s="167"/>
      <c r="N58" s="212"/>
      <c r="O58" s="212"/>
      <c r="P58" s="213"/>
      <c r="Q58" s="214"/>
      <c r="R58" s="214"/>
      <c r="S58" s="214"/>
      <c r="T58" s="214"/>
      <c r="U58" s="201"/>
      <c r="V58" s="214"/>
      <c r="W58" s="214"/>
      <c r="X58" s="214"/>
      <c r="Y58" s="201"/>
      <c r="Z58" s="214"/>
      <c r="AA58" s="214"/>
      <c r="AB58" s="214"/>
      <c r="AC58" s="171"/>
      <c r="AD58" s="215"/>
      <c r="AE58" s="214"/>
      <c r="AF58" s="214"/>
      <c r="AG58" s="216"/>
      <c r="AH58" s="214"/>
      <c r="AI58" s="214"/>
      <c r="AJ58" s="214"/>
      <c r="AK58" s="216"/>
      <c r="AL58" s="214"/>
      <c r="AM58" s="214"/>
      <c r="AN58" s="214"/>
      <c r="AO58" s="216"/>
      <c r="AP58" s="215"/>
      <c r="AQ58" s="214"/>
      <c r="AR58" s="214"/>
      <c r="AS58" s="216"/>
      <c r="AT58" s="214"/>
      <c r="AU58" s="214"/>
      <c r="AV58" s="214"/>
      <c r="AW58" s="216"/>
      <c r="AX58" s="214"/>
      <c r="AY58" s="214"/>
      <c r="AZ58" s="214"/>
      <c r="BA58" s="216"/>
      <c r="BB58" s="214"/>
      <c r="BC58" s="214"/>
      <c r="BD58" s="214"/>
      <c r="BE58" s="216"/>
      <c r="BF58" s="214"/>
      <c r="BG58" s="214"/>
      <c r="BH58" s="214"/>
      <c r="BI58" s="216"/>
      <c r="BJ58" s="217"/>
    </row>
    <row r="59" spans="1:62" ht="15.75" customHeight="1" x14ac:dyDescent="0.2">
      <c r="A59" s="447"/>
      <c r="B59" s="220" t="s">
        <v>68</v>
      </c>
      <c r="C59" s="166"/>
      <c r="D59" s="219">
        <f>372.92+60+173</f>
        <v>605.92000000000007</v>
      </c>
      <c r="E59" s="167"/>
      <c r="F59" s="167"/>
      <c r="G59" s="193"/>
      <c r="H59" s="167">
        <f>80+60</f>
        <v>140</v>
      </c>
      <c r="I59" s="167"/>
      <c r="J59" s="167"/>
      <c r="K59" s="167">
        <f>OPEX!$O8</f>
        <v>235.15</v>
      </c>
      <c r="L59" s="169">
        <f>OPEX!$O5</f>
        <v>197.72</v>
      </c>
      <c r="M59" s="167">
        <f>OPEX!$O6</f>
        <v>110.72</v>
      </c>
      <c r="N59" s="167">
        <f>OPEX!$O7</f>
        <v>120.02000000000001</v>
      </c>
      <c r="O59" s="167">
        <f>OPEX!$O8</f>
        <v>235.15</v>
      </c>
      <c r="P59" s="169">
        <f>OPEX!$O5</f>
        <v>197.72</v>
      </c>
      <c r="Q59" s="188">
        <f>OPEX!$O6</f>
        <v>110.72</v>
      </c>
      <c r="R59" s="188">
        <f>OPEX!$O7</f>
        <v>120.02000000000001</v>
      </c>
      <c r="S59" s="221"/>
      <c r="T59" s="188">
        <f>OPEX!$O8</f>
        <v>235.15</v>
      </c>
      <c r="U59" s="200">
        <f>OPEX!$O5</f>
        <v>197.72</v>
      </c>
      <c r="V59" s="188">
        <f>OPEX!$O6</f>
        <v>110.72</v>
      </c>
      <c r="W59" s="188">
        <f>OPEX!$O7</f>
        <v>120.02000000000001</v>
      </c>
      <c r="X59" s="188">
        <f>OPEX!$O8</f>
        <v>235.15</v>
      </c>
      <c r="Y59" s="200">
        <f>OPEX!$O5</f>
        <v>197.72</v>
      </c>
      <c r="Z59" s="188">
        <f>OPEX!$O6</f>
        <v>110.72</v>
      </c>
      <c r="AA59" s="188">
        <f>OPEX!$O7</f>
        <v>120.02000000000001</v>
      </c>
      <c r="AB59" s="188">
        <f>OPEX!$O8</f>
        <v>235.15</v>
      </c>
      <c r="AC59" s="200">
        <f>OPEX!$O5</f>
        <v>197.72</v>
      </c>
      <c r="AD59" s="172">
        <f>OPEX!$O6</f>
        <v>110.72</v>
      </c>
      <c r="AE59" s="188">
        <f>OPEX!$O7</f>
        <v>120.02000000000001</v>
      </c>
      <c r="AF59" s="170"/>
      <c r="AG59" s="222"/>
      <c r="AH59" s="170">
        <f>OPEX!I5</f>
        <v>478.08000000000004</v>
      </c>
      <c r="AI59" s="214"/>
      <c r="AJ59" s="170"/>
      <c r="AK59" s="222"/>
      <c r="AL59" s="170">
        <f>OPEX!I5</f>
        <v>478.08000000000004</v>
      </c>
      <c r="AM59" s="170"/>
      <c r="AN59" s="170">
        <f>OPEX!Q5</f>
        <v>0</v>
      </c>
      <c r="AO59" s="222"/>
      <c r="AP59" s="172"/>
      <c r="AQ59" s="170">
        <f>OPEX!I5</f>
        <v>478.08000000000004</v>
      </c>
      <c r="AR59" s="170"/>
      <c r="AS59" s="222"/>
      <c r="AT59" s="170"/>
      <c r="AU59" s="214"/>
      <c r="AV59" s="170">
        <f>OPEX!S5</f>
        <v>0</v>
      </c>
      <c r="AW59" s="222"/>
      <c r="AX59" s="170"/>
      <c r="AY59" s="214"/>
      <c r="AZ59" s="170">
        <f>OPEX!W5</f>
        <v>0</v>
      </c>
      <c r="BA59" s="222"/>
      <c r="BB59" s="170"/>
      <c r="BC59" s="214"/>
      <c r="BD59" s="170">
        <f>OPEX!AA5</f>
        <v>0</v>
      </c>
      <c r="BE59" s="222"/>
      <c r="BF59" s="170"/>
      <c r="BG59" s="214"/>
      <c r="BH59" s="170">
        <f>OPEX!AE5</f>
        <v>0</v>
      </c>
      <c r="BI59" s="222"/>
      <c r="BJ59" s="223"/>
    </row>
    <row r="60" spans="1:62" ht="15.75" customHeight="1" x14ac:dyDescent="0.2">
      <c r="A60" s="447"/>
      <c r="B60" s="220" t="s">
        <v>69</v>
      </c>
      <c r="C60" s="166"/>
      <c r="D60" s="167"/>
      <c r="E60" s="167"/>
      <c r="F60" s="167"/>
      <c r="G60" s="167"/>
      <c r="H60" s="167"/>
      <c r="I60" s="167"/>
      <c r="J60" s="167"/>
      <c r="K60" s="167"/>
      <c r="L60" s="169"/>
      <c r="M60" s="167"/>
      <c r="N60" s="212"/>
      <c r="O60" s="167"/>
      <c r="P60" s="169"/>
      <c r="Q60" s="170"/>
      <c r="R60" s="214"/>
      <c r="S60" s="214"/>
      <c r="T60" s="170"/>
      <c r="U60" s="171"/>
      <c r="V60" s="170">
        <v>180</v>
      </c>
      <c r="W60" s="170"/>
      <c r="X60" s="214"/>
      <c r="Y60" s="171"/>
      <c r="Z60" s="170">
        <v>180</v>
      </c>
      <c r="AA60" s="214"/>
      <c r="AB60" s="214"/>
      <c r="AC60" s="171"/>
      <c r="AD60" s="172">
        <v>180</v>
      </c>
      <c r="AE60" s="214"/>
      <c r="AF60" s="214"/>
      <c r="AG60" s="216"/>
      <c r="AH60" s="170">
        <v>180</v>
      </c>
      <c r="AI60" s="214"/>
      <c r="AJ60" s="214"/>
      <c r="AK60" s="216"/>
      <c r="AL60" s="170">
        <v>180</v>
      </c>
      <c r="AM60" s="214"/>
      <c r="AN60" s="214"/>
      <c r="AO60" s="216"/>
      <c r="AP60" s="172">
        <v>180</v>
      </c>
      <c r="AQ60" s="214"/>
      <c r="AR60" s="214"/>
      <c r="AS60" s="216"/>
      <c r="AT60" s="170">
        <v>180</v>
      </c>
      <c r="AU60" s="214"/>
      <c r="AV60" s="214"/>
      <c r="AW60" s="216"/>
      <c r="AX60" s="170">
        <v>180</v>
      </c>
      <c r="AY60" s="214"/>
      <c r="AZ60" s="214"/>
      <c r="BA60" s="216"/>
      <c r="BB60" s="214"/>
      <c r="BC60" s="214"/>
      <c r="BD60" s="214"/>
      <c r="BE60" s="216"/>
      <c r="BF60" s="214"/>
      <c r="BG60" s="214"/>
      <c r="BH60" s="214"/>
      <c r="BI60" s="216"/>
      <c r="BJ60" s="217"/>
    </row>
    <row r="61" spans="1:62" ht="15.75" customHeight="1" x14ac:dyDescent="0.2">
      <c r="A61" s="447"/>
      <c r="B61" s="220" t="s">
        <v>70</v>
      </c>
      <c r="C61" s="166"/>
      <c r="D61" s="219">
        <f>OPEX!I32</f>
        <v>125</v>
      </c>
      <c r="E61" s="167"/>
      <c r="F61" s="167"/>
      <c r="G61" s="167"/>
      <c r="H61" s="167">
        <v>250</v>
      </c>
      <c r="I61" s="167"/>
      <c r="J61" s="167"/>
      <c r="K61" s="167"/>
      <c r="L61" s="169"/>
      <c r="M61" s="167">
        <v>250</v>
      </c>
      <c r="N61" s="167"/>
      <c r="O61" s="212"/>
      <c r="P61" s="169"/>
      <c r="Q61" s="170">
        <v>0</v>
      </c>
      <c r="R61" s="214"/>
      <c r="S61" s="170"/>
      <c r="T61" s="170"/>
      <c r="U61" s="171">
        <v>0</v>
      </c>
      <c r="V61" s="214"/>
      <c r="W61" s="170"/>
      <c r="X61" s="170"/>
      <c r="Y61" s="171">
        <v>0</v>
      </c>
      <c r="Z61" s="170"/>
      <c r="AA61" s="214"/>
      <c r="AB61" s="170"/>
      <c r="AC61" s="171">
        <v>0</v>
      </c>
      <c r="AD61" s="215"/>
      <c r="AE61" s="214"/>
      <c r="AF61" s="170"/>
      <c r="AG61" s="222"/>
      <c r="AH61" s="170">
        <f>OPEX!I32</f>
        <v>125</v>
      </c>
      <c r="AI61" s="214"/>
      <c r="AJ61" s="170"/>
      <c r="AK61" s="222"/>
      <c r="AL61" s="170">
        <f>OPEX!I32</f>
        <v>125</v>
      </c>
      <c r="AM61" s="170"/>
      <c r="AN61" s="170">
        <f>OPEX!Q32</f>
        <v>0</v>
      </c>
      <c r="AO61" s="222"/>
      <c r="AP61" s="170">
        <f>OPEX!I32</f>
        <v>125</v>
      </c>
      <c r="AQ61" s="170"/>
      <c r="AR61" s="170"/>
      <c r="AS61" s="222"/>
      <c r="AT61" s="170">
        <f>OPEX!I32</f>
        <v>125</v>
      </c>
      <c r="AU61" s="170"/>
      <c r="AV61" s="170">
        <f>OPEX!S32</f>
        <v>0</v>
      </c>
      <c r="AW61" s="222"/>
      <c r="AX61" s="170">
        <f>OPEX!I32</f>
        <v>125</v>
      </c>
      <c r="AY61" s="214"/>
      <c r="AZ61" s="170">
        <f>OPEX!W32</f>
        <v>0</v>
      </c>
      <c r="BA61" s="222">
        <f>OPEX!X32</f>
        <v>0</v>
      </c>
      <c r="BB61" s="214"/>
      <c r="BC61" s="214"/>
      <c r="BD61" s="170">
        <f>OPEX!AA32</f>
        <v>0</v>
      </c>
      <c r="BE61" s="222">
        <f>OPEX!AB32</f>
        <v>0</v>
      </c>
      <c r="BF61" s="214"/>
      <c r="BG61" s="214"/>
      <c r="BH61" s="170">
        <f>OPEX!AE32</f>
        <v>0</v>
      </c>
      <c r="BI61" s="222">
        <f>OPEX!AF32</f>
        <v>0</v>
      </c>
      <c r="BJ61" s="223"/>
    </row>
    <row r="62" spans="1:62" ht="15.75" customHeight="1" x14ac:dyDescent="0.2">
      <c r="A62" s="456"/>
      <c r="B62" s="224" t="s">
        <v>71</v>
      </c>
      <c r="C62" s="166"/>
      <c r="D62" s="167"/>
      <c r="E62" s="167">
        <v>1333</v>
      </c>
      <c r="F62" s="167"/>
      <c r="G62" s="167"/>
      <c r="H62" s="167"/>
      <c r="I62" s="167">
        <f>1551-85</f>
        <v>1466</v>
      </c>
      <c r="J62" s="167"/>
      <c r="K62" s="167"/>
      <c r="L62" s="169"/>
      <c r="M62" s="167">
        <v>1499</v>
      </c>
      <c r="N62" s="167"/>
      <c r="O62" s="212"/>
      <c r="P62" s="213"/>
      <c r="Q62" s="170">
        <f>Q28</f>
        <v>1593.3333333333333</v>
      </c>
      <c r="R62" s="214"/>
      <c r="S62" s="214">
        <f>OPEX!Q6</f>
        <v>0</v>
      </c>
      <c r="T62" s="214"/>
      <c r="U62" s="171"/>
      <c r="V62" s="170">
        <f>V28</f>
        <v>1667.5526588586667</v>
      </c>
      <c r="W62" s="170"/>
      <c r="X62" s="170"/>
      <c r="Y62" s="171"/>
      <c r="Z62" s="170">
        <f>Y28</f>
        <v>1093.6372418623955</v>
      </c>
      <c r="AA62" s="214"/>
      <c r="AB62" s="214"/>
      <c r="AC62" s="171"/>
      <c r="AD62" s="172">
        <f>AC28</f>
        <v>1585.1935874630231</v>
      </c>
      <c r="AE62" s="214"/>
      <c r="AF62" s="214"/>
      <c r="AG62" s="171"/>
      <c r="AH62" s="214"/>
      <c r="AI62" s="170">
        <f>AH28</f>
        <v>2432.1711425576668</v>
      </c>
      <c r="AJ62" s="214"/>
      <c r="AK62" s="171"/>
      <c r="AL62" s="214"/>
      <c r="AM62" s="170">
        <f>AL28</f>
        <v>2449.773499236001</v>
      </c>
      <c r="AN62" s="214"/>
      <c r="AO62" s="216"/>
      <c r="AP62" s="215"/>
      <c r="AQ62" s="170">
        <f>AP28</f>
        <v>3025.2973142222891</v>
      </c>
      <c r="AR62" s="214"/>
      <c r="AS62" s="216"/>
      <c r="AT62" s="214"/>
      <c r="AU62" s="214"/>
      <c r="AV62" s="214"/>
      <c r="AW62" s="216"/>
      <c r="AX62" s="214"/>
      <c r="AY62" s="214"/>
      <c r="AZ62" s="214"/>
      <c r="BA62" s="216"/>
      <c r="BB62" s="214"/>
      <c r="BC62" s="214"/>
      <c r="BD62" s="214"/>
      <c r="BE62" s="216"/>
      <c r="BF62" s="214"/>
      <c r="BG62" s="214"/>
      <c r="BH62" s="214"/>
      <c r="BI62" s="216"/>
      <c r="BJ62" s="217"/>
    </row>
    <row r="63" spans="1:62" ht="15.75" customHeight="1" x14ac:dyDescent="0.2">
      <c r="A63" s="225"/>
      <c r="B63" s="226"/>
      <c r="C63" s="227"/>
      <c r="D63" s="228"/>
      <c r="E63" s="228"/>
      <c r="F63" s="228"/>
      <c r="G63" s="228"/>
      <c r="H63" s="228"/>
      <c r="I63" s="228"/>
      <c r="J63" s="228"/>
      <c r="K63" s="228"/>
      <c r="L63" s="229"/>
      <c r="M63" s="228"/>
      <c r="N63" s="230"/>
      <c r="O63" s="230"/>
      <c r="P63" s="231"/>
      <c r="Q63" s="232"/>
      <c r="R63" s="232"/>
      <c r="S63" s="232"/>
      <c r="T63" s="232"/>
      <c r="U63" s="233"/>
      <c r="V63" s="232"/>
      <c r="W63" s="232"/>
      <c r="X63" s="232"/>
      <c r="Y63" s="233"/>
      <c r="Z63" s="232"/>
      <c r="AA63" s="232"/>
      <c r="AB63" s="232"/>
      <c r="AC63" s="233"/>
      <c r="AD63" s="234"/>
      <c r="AE63" s="232"/>
      <c r="AF63" s="232"/>
      <c r="AG63" s="233"/>
      <c r="AH63" s="232"/>
      <c r="AI63" s="232"/>
      <c r="AJ63" s="232"/>
      <c r="AK63" s="233"/>
      <c r="AL63" s="232"/>
      <c r="AM63" s="232"/>
      <c r="AN63" s="232"/>
      <c r="AO63" s="233"/>
      <c r="AP63" s="234"/>
      <c r="AQ63" s="232"/>
      <c r="AR63" s="232"/>
      <c r="AS63" s="233"/>
      <c r="AT63" s="232"/>
      <c r="AU63" s="232"/>
      <c r="AV63" s="232"/>
      <c r="AW63" s="233"/>
      <c r="AX63" s="232"/>
      <c r="AY63" s="232"/>
      <c r="AZ63" s="232"/>
      <c r="BA63" s="233"/>
      <c r="BB63" s="232"/>
      <c r="BC63" s="232"/>
      <c r="BD63" s="232"/>
      <c r="BE63" s="233"/>
      <c r="BF63" s="232"/>
      <c r="BG63" s="232"/>
      <c r="BH63" s="232"/>
      <c r="BI63" s="233"/>
      <c r="BJ63" s="235"/>
    </row>
    <row r="64" spans="1:62" ht="15.75" customHeight="1" x14ac:dyDescent="0.2">
      <c r="A64" s="225"/>
      <c r="B64" s="226" t="s">
        <v>72</v>
      </c>
      <c r="C64" s="230">
        <f t="shared" ref="C64:BI64" si="48">SUM(C47:C63)</f>
        <v>992.72727272727275</v>
      </c>
      <c r="D64" s="230">
        <f t="shared" si="48"/>
        <v>1421.06</v>
      </c>
      <c r="E64" s="230">
        <f t="shared" si="48"/>
        <v>2719.7200000000003</v>
      </c>
      <c r="F64" s="230">
        <f t="shared" si="48"/>
        <v>954.3</v>
      </c>
      <c r="G64" s="230">
        <f t="shared" si="48"/>
        <v>552.36</v>
      </c>
      <c r="H64" s="230">
        <f t="shared" si="48"/>
        <v>1324.12</v>
      </c>
      <c r="I64" s="230">
        <f t="shared" si="48"/>
        <v>1718.88</v>
      </c>
      <c r="J64" s="230">
        <f t="shared" si="48"/>
        <v>99.96</v>
      </c>
      <c r="K64" s="230">
        <f t="shared" si="48"/>
        <v>325.09000000000003</v>
      </c>
      <c r="L64" s="231">
        <f t="shared" si="48"/>
        <v>485.55999999999995</v>
      </c>
      <c r="M64" s="230">
        <f t="shared" si="48"/>
        <v>3569.2200000000003</v>
      </c>
      <c r="N64" s="230">
        <f t="shared" si="48"/>
        <v>233.60000000000002</v>
      </c>
      <c r="O64" s="230">
        <f t="shared" si="48"/>
        <v>330.73</v>
      </c>
      <c r="P64" s="231">
        <f t="shared" si="48"/>
        <v>295.71999999999997</v>
      </c>
      <c r="Q64" s="236">
        <f t="shared" si="48"/>
        <v>6772.9733333333334</v>
      </c>
      <c r="R64" s="236">
        <f t="shared" si="48"/>
        <v>226.01680000000002</v>
      </c>
      <c r="S64" s="236">
        <f t="shared" si="48"/>
        <v>110.23667199999998</v>
      </c>
      <c r="T64" s="236">
        <f t="shared" si="48"/>
        <v>349.79613888</v>
      </c>
      <c r="U64" s="237">
        <f t="shared" si="48"/>
        <v>2870.3498442751998</v>
      </c>
      <c r="V64" s="236">
        <f t="shared" si="48"/>
        <v>2228.2739226712747</v>
      </c>
      <c r="W64" s="236">
        <f t="shared" si="48"/>
        <v>248.98131436511235</v>
      </c>
      <c r="X64" s="236">
        <f t="shared" si="48"/>
        <v>369.26976693971682</v>
      </c>
      <c r="Y64" s="237">
        <f t="shared" si="48"/>
        <v>6006.4546390465848</v>
      </c>
      <c r="Z64" s="236">
        <f t="shared" si="48"/>
        <v>1709.4211817843934</v>
      </c>
      <c r="AA64" s="236">
        <f t="shared" si="48"/>
        <v>270.88649751887766</v>
      </c>
      <c r="AB64" s="236">
        <f t="shared" si="48"/>
        <v>392.05115741963277</v>
      </c>
      <c r="AC64" s="237">
        <f t="shared" si="48"/>
        <v>3791.636042344393</v>
      </c>
      <c r="AD64" s="234">
        <f t="shared" si="48"/>
        <v>2246.8226783721138</v>
      </c>
      <c r="AE64" s="236">
        <f t="shared" si="48"/>
        <v>324.29272727272723</v>
      </c>
      <c r="AF64" s="236">
        <f t="shared" si="48"/>
        <v>218.57181818181814</v>
      </c>
      <c r="AG64" s="237">
        <f t="shared" si="48"/>
        <v>4681.9914658948446</v>
      </c>
      <c r="AH64" s="236">
        <f t="shared" si="48"/>
        <v>1388.3228746363638</v>
      </c>
      <c r="AI64" s="236">
        <f t="shared" si="48"/>
        <v>2874.9310184185761</v>
      </c>
      <c r="AJ64" s="236">
        <f t="shared" si="48"/>
        <v>461.5030671711728</v>
      </c>
      <c r="AK64" s="237">
        <f t="shared" si="48"/>
        <v>6192.6354290496056</v>
      </c>
      <c r="AL64" s="236">
        <f t="shared" si="48"/>
        <v>1466.0973616042756</v>
      </c>
      <c r="AM64" s="236">
        <f t="shared" si="48"/>
        <v>2975.7520761525761</v>
      </c>
      <c r="AN64" s="236">
        <f t="shared" si="48"/>
        <v>550.5470773007354</v>
      </c>
      <c r="AO64" s="237">
        <f t="shared" si="48"/>
        <v>8062.8925100328634</v>
      </c>
      <c r="AP64" s="234">
        <f t="shared" si="48"/>
        <v>1089.9638488016119</v>
      </c>
      <c r="AQ64" s="236">
        <f t="shared" si="48"/>
        <v>4138.4386324400139</v>
      </c>
      <c r="AR64" s="236">
        <f t="shared" si="48"/>
        <v>667.26561049296561</v>
      </c>
      <c r="AS64" s="237">
        <f t="shared" si="48"/>
        <v>10514.418029459966</v>
      </c>
      <c r="AT64" s="236">
        <f t="shared" si="48"/>
        <v>1223.5948974533962</v>
      </c>
      <c r="AU64" s="236">
        <f t="shared" si="48"/>
        <v>778.04654027513413</v>
      </c>
      <c r="AV64" s="236">
        <f t="shared" si="48"/>
        <v>820.25979809439355</v>
      </c>
      <c r="AW64" s="237">
        <f t="shared" si="48"/>
        <v>13727.867898738185</v>
      </c>
      <c r="AX64" s="236">
        <f t="shared" si="48"/>
        <v>1398.7579428382712</v>
      </c>
      <c r="AY64" s="236">
        <f t="shared" si="48"/>
        <v>965.47099883695023</v>
      </c>
      <c r="AZ64" s="236">
        <f t="shared" si="48"/>
        <v>1020.8039687555367</v>
      </c>
      <c r="BA64" s="237">
        <f t="shared" si="48"/>
        <v>17940.045165723102</v>
      </c>
      <c r="BB64" s="236">
        <f t="shared" si="48"/>
        <v>1323.3609638282142</v>
      </c>
      <c r="BC64" s="236">
        <f t="shared" si="48"/>
        <v>1211.1462312961894</v>
      </c>
      <c r="BD64" s="236">
        <f t="shared" si="48"/>
        <v>1283.6764674869225</v>
      </c>
      <c r="BE64" s="237">
        <f t="shared" si="48"/>
        <v>23461.350320699632</v>
      </c>
      <c r="BF64" s="236">
        <f t="shared" si="48"/>
        <v>1624.3236876257777</v>
      </c>
      <c r="BG64" s="236">
        <f t="shared" si="48"/>
        <v>1533.1763457595821</v>
      </c>
      <c r="BH64" s="236">
        <f t="shared" si="48"/>
        <v>1628.2486899627529</v>
      </c>
      <c r="BI64" s="237">
        <f t="shared" si="48"/>
        <v>30698.655087835308</v>
      </c>
      <c r="BJ64" s="238"/>
    </row>
    <row r="65" spans="1:62" ht="15.75" customHeight="1" x14ac:dyDescent="0.2">
      <c r="A65" s="239"/>
      <c r="B65" s="240" t="s">
        <v>73</v>
      </c>
      <c r="C65" s="241">
        <f t="shared" ref="C65:BI65" si="49">C44-C64</f>
        <v>1463.6363636363637</v>
      </c>
      <c r="D65" s="241">
        <f t="shared" si="49"/>
        <v>1685.2750000000001</v>
      </c>
      <c r="E65" s="241">
        <f t="shared" si="49"/>
        <v>-1055.4400000000003</v>
      </c>
      <c r="F65" s="241">
        <f t="shared" si="49"/>
        <v>-361.29999999999995</v>
      </c>
      <c r="G65" s="241">
        <f t="shared" si="49"/>
        <v>969.77999999999986</v>
      </c>
      <c r="H65" s="241">
        <f t="shared" si="49"/>
        <v>-228.20000000000005</v>
      </c>
      <c r="I65" s="241">
        <f t="shared" si="49"/>
        <v>-512.76000000000022</v>
      </c>
      <c r="J65" s="241">
        <f t="shared" si="49"/>
        <v>1049.58</v>
      </c>
      <c r="K65" s="241">
        <f t="shared" si="49"/>
        <v>709.21999999999991</v>
      </c>
      <c r="L65" s="242">
        <f t="shared" si="49"/>
        <v>811.17499999999995</v>
      </c>
      <c r="M65" s="241">
        <f t="shared" si="49"/>
        <v>-2575.2200000000003</v>
      </c>
      <c r="N65" s="241">
        <f t="shared" si="49"/>
        <v>1072.5700000000002</v>
      </c>
      <c r="O65" s="241">
        <f t="shared" si="49"/>
        <v>768.44</v>
      </c>
      <c r="P65" s="242">
        <f t="shared" si="49"/>
        <v>831.27999999999975</v>
      </c>
      <c r="Q65" s="241">
        <f t="shared" si="49"/>
        <v>-5600.8933333333334</v>
      </c>
      <c r="R65" s="241">
        <f t="shared" si="49"/>
        <v>992.94640000000015</v>
      </c>
      <c r="S65" s="241">
        <f t="shared" si="49"/>
        <v>1157.4850559999998</v>
      </c>
      <c r="T65" s="241">
        <f t="shared" si="49"/>
        <v>968.63445824000019</v>
      </c>
      <c r="U65" s="242">
        <f t="shared" si="49"/>
        <v>-1499.1820232703994</v>
      </c>
      <c r="V65" s="241">
        <f t="shared" si="49"/>
        <v>-802.25938882628225</v>
      </c>
      <c r="W65" s="241">
        <f t="shared" si="49"/>
        <v>1234.0738008336796</v>
      </c>
      <c r="X65" s="241">
        <f t="shared" si="49"/>
        <v>1173.1075528670265</v>
      </c>
      <c r="Y65" s="242">
        <f t="shared" si="49"/>
        <v>-4402.3822264475712</v>
      </c>
      <c r="Z65" s="241">
        <f t="shared" si="49"/>
        <v>-41.185872681419596</v>
      </c>
      <c r="AA65" s="241">
        <f t="shared" si="49"/>
        <v>1464.0782239482153</v>
      </c>
      <c r="AB65" s="241">
        <f t="shared" si="49"/>
        <v>1412.3121529061439</v>
      </c>
      <c r="AC65" s="242">
        <f t="shared" si="49"/>
        <v>-1915.098199605585</v>
      </c>
      <c r="AD65" s="241">
        <f t="shared" si="49"/>
        <v>-51.368132917568801</v>
      </c>
      <c r="AE65" s="241">
        <f t="shared" si="49"/>
        <v>2024.8436363636358</v>
      </c>
      <c r="AF65" s="241">
        <f t="shared" si="49"/>
        <v>2295.0040909090903</v>
      </c>
      <c r="AG65" s="242">
        <f t="shared" si="49"/>
        <v>-1992.4652431675718</v>
      </c>
      <c r="AH65" s="241">
        <f t="shared" si="49"/>
        <v>1489.4701836818181</v>
      </c>
      <c r="AI65" s="241">
        <f t="shared" si="49"/>
        <v>204.3075539818783</v>
      </c>
      <c r="AJ65" s="241">
        <f t="shared" si="49"/>
        <v>2833.2822052973142</v>
      </c>
      <c r="AK65" s="242">
        <f t="shared" si="49"/>
        <v>-2667.2151875083237</v>
      </c>
      <c r="AL65" s="241">
        <f t="shared" si="49"/>
        <v>2306.1022968448956</v>
      </c>
      <c r="AM65" s="241">
        <f t="shared" si="49"/>
        <v>1060.5015583880381</v>
      </c>
      <c r="AN65" s="241">
        <f t="shared" si="49"/>
        <v>3768.2443116577215</v>
      </c>
      <c r="AO65" s="242">
        <f t="shared" si="49"/>
        <v>-3441.7857238473134</v>
      </c>
      <c r="AP65" s="241">
        <f t="shared" si="49"/>
        <v>3854.6204124169253</v>
      </c>
      <c r="AQ65" s="241">
        <f t="shared" si="49"/>
        <v>1152.2665270638217</v>
      </c>
      <c r="AR65" s="241">
        <f t="shared" si="49"/>
        <v>4993.7889101761384</v>
      </c>
      <c r="AS65" s="242">
        <f t="shared" si="49"/>
        <v>-4457.089692344025</v>
      </c>
      <c r="AT65" s="241">
        <f t="shared" si="49"/>
        <v>5257.7464232606599</v>
      </c>
      <c r="AU65" s="241">
        <f t="shared" si="49"/>
        <v>6156.9886728889087</v>
      </c>
      <c r="AV65" s="241">
        <f t="shared" si="49"/>
        <v>6600.2278799911319</v>
      </c>
      <c r="AW65" s="242">
        <f t="shared" si="49"/>
        <v>-5787.9460831866727</v>
      </c>
      <c r="AX65" s="241">
        <f t="shared" si="49"/>
        <v>7096.958399801847</v>
      </c>
      <c r="AY65" s="241">
        <f t="shared" si="49"/>
        <v>8124.9454877879762</v>
      </c>
      <c r="AZ65" s="241">
        <f t="shared" si="49"/>
        <v>8705.9416719331348</v>
      </c>
      <c r="BA65" s="242">
        <f t="shared" si="49"/>
        <v>-7532.4273301862231</v>
      </c>
      <c r="BB65" s="241">
        <f t="shared" si="49"/>
        <v>9812.7901201962486</v>
      </c>
      <c r="BC65" s="241">
        <f t="shared" si="49"/>
        <v>10704.53542860999</v>
      </c>
      <c r="BD65" s="241">
        <f t="shared" si="49"/>
        <v>11466.102908612687</v>
      </c>
      <c r="BE65" s="242">
        <f t="shared" si="49"/>
        <v>-9819.08638827305</v>
      </c>
      <c r="BF65" s="241">
        <f t="shared" si="49"/>
        <v>12972.898720070665</v>
      </c>
      <c r="BG65" s="241">
        <f t="shared" si="49"/>
        <v>14085.85163047561</v>
      </c>
      <c r="BH65" s="241">
        <f t="shared" si="49"/>
        <v>15084.111244608905</v>
      </c>
      <c r="BI65" s="242">
        <f t="shared" si="49"/>
        <v>-12816.429957843633</v>
      </c>
      <c r="BJ65" s="241"/>
    </row>
    <row r="66" spans="1:62" ht="15.75" customHeight="1" x14ac:dyDescent="0.2">
      <c r="A66" s="239"/>
      <c r="B66" s="240" t="s">
        <v>74</v>
      </c>
      <c r="C66" s="243"/>
      <c r="D66" s="243">
        <v>1</v>
      </c>
      <c r="E66" s="243">
        <v>2</v>
      </c>
      <c r="F66" s="243">
        <v>3</v>
      </c>
      <c r="G66" s="243">
        <v>4</v>
      </c>
      <c r="H66" s="243">
        <v>5</v>
      </c>
      <c r="I66" s="243">
        <v>6</v>
      </c>
      <c r="J66" s="243">
        <v>7</v>
      </c>
      <c r="K66" s="243">
        <v>8</v>
      </c>
      <c r="L66" s="244">
        <v>9</v>
      </c>
      <c r="M66" s="243">
        <v>10</v>
      </c>
      <c r="N66" s="243">
        <v>11</v>
      </c>
      <c r="O66" s="243">
        <v>12</v>
      </c>
      <c r="P66" s="244">
        <v>13</v>
      </c>
      <c r="Q66" s="243">
        <v>14</v>
      </c>
      <c r="R66" s="243">
        <v>15</v>
      </c>
      <c r="S66" s="243">
        <v>16</v>
      </c>
      <c r="T66" s="243">
        <v>17</v>
      </c>
      <c r="U66" s="244">
        <v>18</v>
      </c>
      <c r="V66" s="243">
        <v>19</v>
      </c>
      <c r="W66" s="243">
        <v>20</v>
      </c>
      <c r="X66" s="243">
        <v>21</v>
      </c>
      <c r="Y66" s="244">
        <v>22</v>
      </c>
      <c r="Z66" s="243">
        <v>23</v>
      </c>
      <c r="AA66" s="243">
        <v>24</v>
      </c>
      <c r="AB66" s="243">
        <v>25</v>
      </c>
      <c r="AC66" s="244">
        <v>26</v>
      </c>
      <c r="AD66" s="243">
        <v>27</v>
      </c>
      <c r="AE66" s="243">
        <v>28</v>
      </c>
      <c r="AF66" s="243">
        <v>29</v>
      </c>
      <c r="AG66" s="244">
        <v>30</v>
      </c>
      <c r="AH66" s="243">
        <v>27</v>
      </c>
      <c r="AI66" s="243">
        <v>28</v>
      </c>
      <c r="AJ66" s="243">
        <v>29</v>
      </c>
      <c r="AK66" s="244">
        <v>30</v>
      </c>
      <c r="AL66" s="243">
        <v>27</v>
      </c>
      <c r="AM66" s="243">
        <v>28</v>
      </c>
      <c r="AN66" s="243">
        <v>29</v>
      </c>
      <c r="AO66" s="244">
        <v>30</v>
      </c>
      <c r="AP66" s="243">
        <v>27</v>
      </c>
      <c r="AQ66" s="243">
        <v>28</v>
      </c>
      <c r="AR66" s="243">
        <v>29</v>
      </c>
      <c r="AS66" s="244">
        <v>30</v>
      </c>
      <c r="AT66" s="243">
        <v>27</v>
      </c>
      <c r="AU66" s="243">
        <v>28</v>
      </c>
      <c r="AV66" s="243">
        <v>29</v>
      </c>
      <c r="AW66" s="244">
        <v>30</v>
      </c>
      <c r="AX66" s="243">
        <v>27</v>
      </c>
      <c r="AY66" s="243">
        <v>28</v>
      </c>
      <c r="AZ66" s="243">
        <v>29</v>
      </c>
      <c r="BA66" s="244">
        <v>30</v>
      </c>
      <c r="BB66" s="243">
        <v>27</v>
      </c>
      <c r="BC66" s="243">
        <v>28</v>
      </c>
      <c r="BD66" s="243">
        <v>29</v>
      </c>
      <c r="BE66" s="244">
        <v>30</v>
      </c>
      <c r="BF66" s="243">
        <v>27</v>
      </c>
      <c r="BG66" s="243">
        <v>28</v>
      </c>
      <c r="BH66" s="243">
        <v>29</v>
      </c>
      <c r="BI66" s="244">
        <v>30</v>
      </c>
      <c r="BJ66" s="243"/>
    </row>
    <row r="67" spans="1:62" ht="15.75" customHeight="1" x14ac:dyDescent="0.2">
      <c r="A67" s="239"/>
      <c r="B67" s="240"/>
      <c r="C67" s="243"/>
      <c r="D67" s="243"/>
      <c r="E67" s="243"/>
      <c r="F67" s="243"/>
      <c r="G67" s="243"/>
      <c r="H67" s="243"/>
      <c r="I67" s="243"/>
      <c r="J67" s="243"/>
      <c r="K67" s="243"/>
      <c r="L67" s="244"/>
      <c r="M67" s="243"/>
      <c r="N67" s="243"/>
      <c r="O67" s="243"/>
      <c r="P67" s="244"/>
      <c r="Q67" s="243"/>
      <c r="R67" s="243"/>
      <c r="S67" s="243"/>
      <c r="T67" s="243"/>
      <c r="U67" s="244"/>
      <c r="V67" s="243"/>
      <c r="W67" s="243"/>
      <c r="X67" s="243"/>
      <c r="Y67" s="244"/>
      <c r="Z67" s="243"/>
      <c r="AA67" s="243"/>
      <c r="AB67" s="243"/>
      <c r="AC67" s="244"/>
      <c r="AD67" s="243"/>
      <c r="AE67" s="243"/>
      <c r="AF67" s="243"/>
      <c r="AG67" s="244"/>
      <c r="AH67" s="243"/>
      <c r="AI67" s="243"/>
      <c r="AJ67" s="243"/>
      <c r="AK67" s="244"/>
      <c r="AL67" s="243"/>
      <c r="AM67" s="243"/>
      <c r="AN67" s="243"/>
      <c r="AO67" s="244"/>
      <c r="AP67" s="243"/>
      <c r="AQ67" s="243"/>
      <c r="AR67" s="243"/>
      <c r="AS67" s="244"/>
      <c r="AT67" s="243"/>
      <c r="AU67" s="243"/>
      <c r="AV67" s="243"/>
      <c r="AW67" s="244"/>
      <c r="AX67" s="243"/>
      <c r="AY67" s="243"/>
      <c r="AZ67" s="243"/>
      <c r="BA67" s="244"/>
      <c r="BB67" s="243"/>
      <c r="BC67" s="243"/>
      <c r="BD67" s="243"/>
      <c r="BE67" s="244"/>
      <c r="BF67" s="243"/>
      <c r="BG67" s="243"/>
      <c r="BH67" s="243"/>
      <c r="BI67" s="244"/>
      <c r="BJ67" s="243"/>
    </row>
    <row r="68" spans="1:62" ht="15.75" customHeight="1" x14ac:dyDescent="0.2">
      <c r="A68" s="245"/>
      <c r="B68" s="246" t="s">
        <v>75</v>
      </c>
      <c r="C68" s="247"/>
      <c r="D68" s="247"/>
      <c r="E68" s="247">
        <f t="shared" ref="E68:BI68" si="50">E23+E22</f>
        <v>18660</v>
      </c>
      <c r="F68" s="247">
        <f t="shared" si="50"/>
        <v>18661</v>
      </c>
      <c r="G68" s="247">
        <f t="shared" si="50"/>
        <v>18975</v>
      </c>
      <c r="H68" s="247">
        <f t="shared" si="50"/>
        <v>18945</v>
      </c>
      <c r="I68" s="247">
        <f t="shared" si="50"/>
        <v>18945</v>
      </c>
      <c r="J68" s="247">
        <f t="shared" si="50"/>
        <v>18995</v>
      </c>
      <c r="K68" s="247">
        <f t="shared" si="50"/>
        <v>18885</v>
      </c>
      <c r="L68" s="248">
        <f t="shared" si="50"/>
        <v>18936.73</v>
      </c>
      <c r="M68" s="247">
        <f t="shared" si="50"/>
        <v>19085.434999999998</v>
      </c>
      <c r="N68" s="247">
        <f t="shared" si="50"/>
        <v>19058.434999999998</v>
      </c>
      <c r="O68" s="247">
        <f t="shared" si="50"/>
        <v>19127.544999999998</v>
      </c>
      <c r="P68" s="248">
        <f t="shared" si="50"/>
        <v>20300.654999999999</v>
      </c>
      <c r="Q68" s="247">
        <f t="shared" si="50"/>
        <v>20300.654999999999</v>
      </c>
      <c r="R68" s="247">
        <f t="shared" si="50"/>
        <v>20300.654999999999</v>
      </c>
      <c r="S68" s="247">
        <f t="shared" si="50"/>
        <v>20300.654999999999</v>
      </c>
      <c r="T68" s="247">
        <f t="shared" si="50"/>
        <v>20300.654999999999</v>
      </c>
      <c r="U68" s="248">
        <f t="shared" si="50"/>
        <v>20300.654999999999</v>
      </c>
      <c r="V68" s="247">
        <f t="shared" si="50"/>
        <v>20300.654999999999</v>
      </c>
      <c r="W68" s="247">
        <f t="shared" si="50"/>
        <v>20300.654999999999</v>
      </c>
      <c r="X68" s="247">
        <f t="shared" si="50"/>
        <v>20300.654999999999</v>
      </c>
      <c r="Y68" s="248">
        <f t="shared" si="50"/>
        <v>20300.654999999999</v>
      </c>
      <c r="Z68" s="247">
        <f t="shared" si="50"/>
        <v>20300.654999999999</v>
      </c>
      <c r="AA68" s="247">
        <f t="shared" si="50"/>
        <v>20300.654999999999</v>
      </c>
      <c r="AB68" s="247">
        <f t="shared" si="50"/>
        <v>20300.654999999999</v>
      </c>
      <c r="AC68" s="248">
        <f t="shared" si="50"/>
        <v>20300.654999999999</v>
      </c>
      <c r="AD68" s="247">
        <f t="shared" si="50"/>
        <v>20300.654999999999</v>
      </c>
      <c r="AE68" s="247">
        <f t="shared" si="50"/>
        <v>20587.018636363635</v>
      </c>
      <c r="AF68" s="247">
        <f t="shared" si="50"/>
        <v>20893.427727272723</v>
      </c>
      <c r="AG68" s="248">
        <f t="shared" si="50"/>
        <v>21221.28545454545</v>
      </c>
      <c r="AH68" s="247">
        <f t="shared" si="50"/>
        <v>21572.093222727268</v>
      </c>
      <c r="AI68" s="247">
        <f t="shared" si="50"/>
        <v>21947.457534681809</v>
      </c>
      <c r="AJ68" s="247">
        <f t="shared" si="50"/>
        <v>22349.097348473173</v>
      </c>
      <c r="AK68" s="248">
        <f t="shared" si="50"/>
        <v>22778.851949229931</v>
      </c>
      <c r="AL68" s="247">
        <f t="shared" si="50"/>
        <v>23238.689372039662</v>
      </c>
      <c r="AM68" s="247">
        <f t="shared" si="50"/>
        <v>23730.715414446076</v>
      </c>
      <c r="AN68" s="247">
        <f t="shared" si="50"/>
        <v>24257.18327982094</v>
      </c>
      <c r="AO68" s="248">
        <f t="shared" si="50"/>
        <v>24820.503895772043</v>
      </c>
      <c r="AP68" s="247">
        <f t="shared" si="50"/>
        <v>25423.256954839722</v>
      </c>
      <c r="AQ68" s="247">
        <f t="shared" si="50"/>
        <v>26068.202728042143</v>
      </c>
      <c r="AR68" s="247">
        <f t="shared" si="50"/>
        <v>26758.294705368728</v>
      </c>
      <c r="AS68" s="248">
        <f t="shared" si="50"/>
        <v>27496.693121108183</v>
      </c>
      <c r="AT68" s="247">
        <f t="shared" si="50"/>
        <v>28286.779425949386</v>
      </c>
      <c r="AU68" s="247">
        <f t="shared" si="50"/>
        <v>29132.171772129484</v>
      </c>
      <c r="AV68" s="247">
        <f t="shared" si="50"/>
        <v>30036.741582542181</v>
      </c>
      <c r="AW68" s="248">
        <f t="shared" si="50"/>
        <v>31004.631279683774</v>
      </c>
      <c r="AX68" s="247">
        <f t="shared" si="50"/>
        <v>32040.273255625278</v>
      </c>
      <c r="AY68" s="247">
        <f t="shared" si="50"/>
        <v>33148.410169882685</v>
      </c>
      <c r="AZ68" s="247">
        <f t="shared" si="50"/>
        <v>34334.116668138115</v>
      </c>
      <c r="BA68" s="248">
        <f t="shared" si="50"/>
        <v>35602.822621271429</v>
      </c>
      <c r="BB68" s="247">
        <f t="shared" si="50"/>
        <v>36960.33799112407</v>
      </c>
      <c r="BC68" s="247">
        <f t="shared" si="50"/>
        <v>38412.879436866395</v>
      </c>
      <c r="BD68" s="247">
        <f t="shared" si="50"/>
        <v>39967.098783810688</v>
      </c>
      <c r="BE68" s="248">
        <f t="shared" si="50"/>
        <v>41630.113485041067</v>
      </c>
      <c r="BF68" s="247">
        <f t="shared" si="50"/>
        <v>43409.539215357574</v>
      </c>
      <c r="BG68" s="247">
        <f t="shared" si="50"/>
        <v>45313.524746796233</v>
      </c>
      <c r="BH68" s="247">
        <f t="shared" si="50"/>
        <v>47350.789265435611</v>
      </c>
      <c r="BI68" s="248">
        <f t="shared" si="50"/>
        <v>49530.662300379743</v>
      </c>
      <c r="BJ68" s="247"/>
    </row>
    <row r="69" spans="1:62" ht="15.75" customHeight="1" x14ac:dyDescent="0.2">
      <c r="A69" s="239"/>
      <c r="B69" s="249" t="s">
        <v>76</v>
      </c>
      <c r="C69" s="243"/>
      <c r="D69" s="243"/>
      <c r="E69" s="243">
        <f t="shared" ref="E69:BI69" si="51">E68-E35</f>
        <v>-1340</v>
      </c>
      <c r="F69" s="243">
        <f t="shared" si="51"/>
        <v>-1339</v>
      </c>
      <c r="G69" s="243">
        <f t="shared" si="51"/>
        <v>-1025</v>
      </c>
      <c r="H69" s="243">
        <f t="shared" si="51"/>
        <v>-1055</v>
      </c>
      <c r="I69" s="243">
        <f t="shared" si="51"/>
        <v>-1055</v>
      </c>
      <c r="J69" s="243">
        <f t="shared" si="51"/>
        <v>-1005</v>
      </c>
      <c r="K69" s="243">
        <f t="shared" si="51"/>
        <v>-1115</v>
      </c>
      <c r="L69" s="244">
        <f t="shared" si="51"/>
        <v>-1063.2700000000004</v>
      </c>
      <c r="M69" s="243">
        <f t="shared" si="51"/>
        <v>-914.56500000000233</v>
      </c>
      <c r="N69" s="243">
        <f t="shared" si="51"/>
        <v>-941.56500000000233</v>
      </c>
      <c r="O69" s="243">
        <f t="shared" si="51"/>
        <v>-872.45500000000175</v>
      </c>
      <c r="P69" s="244">
        <f t="shared" si="51"/>
        <v>300.65499999999884</v>
      </c>
      <c r="Q69" s="243">
        <f t="shared" si="51"/>
        <v>300.65499999999884</v>
      </c>
      <c r="R69" s="243">
        <f t="shared" si="51"/>
        <v>300.65499999999884</v>
      </c>
      <c r="S69" s="243">
        <f t="shared" si="51"/>
        <v>300.65499999999884</v>
      </c>
      <c r="T69" s="243">
        <f t="shared" si="51"/>
        <v>300.65499999999884</v>
      </c>
      <c r="U69" s="244">
        <f t="shared" si="51"/>
        <v>300.65499999999884</v>
      </c>
      <c r="V69" s="243">
        <f t="shared" si="51"/>
        <v>300.65499999999884</v>
      </c>
      <c r="W69" s="243">
        <f t="shared" si="51"/>
        <v>300.65499999999884</v>
      </c>
      <c r="X69" s="243">
        <f t="shared" si="51"/>
        <v>300.65499999999884</v>
      </c>
      <c r="Y69" s="244">
        <f t="shared" si="51"/>
        <v>300.65499999999884</v>
      </c>
      <c r="Z69" s="243">
        <f t="shared" si="51"/>
        <v>300.65499999999884</v>
      </c>
      <c r="AA69" s="243">
        <f t="shared" si="51"/>
        <v>300.65499999999884</v>
      </c>
      <c r="AB69" s="243">
        <f t="shared" si="51"/>
        <v>300.65499999999884</v>
      </c>
      <c r="AC69" s="244">
        <f t="shared" si="51"/>
        <v>300.65499999999884</v>
      </c>
      <c r="AD69" s="243">
        <f t="shared" si="51"/>
        <v>300.65499999999884</v>
      </c>
      <c r="AE69" s="243">
        <f t="shared" si="51"/>
        <v>587.01863636363487</v>
      </c>
      <c r="AF69" s="243">
        <f t="shared" si="51"/>
        <v>893.42772727272313</v>
      </c>
      <c r="AG69" s="244">
        <f t="shared" si="51"/>
        <v>1221.2854545454502</v>
      </c>
      <c r="AH69" s="243">
        <f t="shared" si="51"/>
        <v>1572.0932227272679</v>
      </c>
      <c r="AI69" s="243">
        <f t="shared" si="51"/>
        <v>1947.4575346818092</v>
      </c>
      <c r="AJ69" s="243">
        <f t="shared" si="51"/>
        <v>2349.097348473173</v>
      </c>
      <c r="AK69" s="244">
        <f t="shared" si="51"/>
        <v>2778.8519492299311</v>
      </c>
      <c r="AL69" s="243">
        <f t="shared" si="51"/>
        <v>3238.689372039662</v>
      </c>
      <c r="AM69" s="243">
        <f t="shared" si="51"/>
        <v>3730.7154144460765</v>
      </c>
      <c r="AN69" s="243">
        <f t="shared" si="51"/>
        <v>4257.1832798209398</v>
      </c>
      <c r="AO69" s="244">
        <f t="shared" si="51"/>
        <v>4820.5038957720426</v>
      </c>
      <c r="AP69" s="243">
        <f t="shared" si="51"/>
        <v>5423.2569548397223</v>
      </c>
      <c r="AQ69" s="243">
        <f t="shared" si="51"/>
        <v>6068.2027280421426</v>
      </c>
      <c r="AR69" s="243">
        <f t="shared" si="51"/>
        <v>6758.2947053687276</v>
      </c>
      <c r="AS69" s="244">
        <f t="shared" si="51"/>
        <v>7496.6931211081828</v>
      </c>
      <c r="AT69" s="243">
        <f t="shared" si="51"/>
        <v>8286.7794259493858</v>
      </c>
      <c r="AU69" s="243">
        <f t="shared" si="51"/>
        <v>9132.1717721294845</v>
      </c>
      <c r="AV69" s="243">
        <f t="shared" si="51"/>
        <v>10036.741582542181</v>
      </c>
      <c r="AW69" s="244">
        <f t="shared" si="51"/>
        <v>11004.631279683774</v>
      </c>
      <c r="AX69" s="243">
        <f t="shared" si="51"/>
        <v>12040.273255625278</v>
      </c>
      <c r="AY69" s="243">
        <f t="shared" si="51"/>
        <v>13148.410169882685</v>
      </c>
      <c r="AZ69" s="243">
        <f t="shared" si="51"/>
        <v>14334.116668138115</v>
      </c>
      <c r="BA69" s="244">
        <f t="shared" si="51"/>
        <v>15602.822621271429</v>
      </c>
      <c r="BB69" s="243">
        <f t="shared" si="51"/>
        <v>16960.33799112407</v>
      </c>
      <c r="BC69" s="243">
        <f t="shared" si="51"/>
        <v>18412.879436866395</v>
      </c>
      <c r="BD69" s="243">
        <f t="shared" si="51"/>
        <v>19967.098783810688</v>
      </c>
      <c r="BE69" s="244">
        <f t="shared" si="51"/>
        <v>21630.113485041067</v>
      </c>
      <c r="BF69" s="243">
        <f t="shared" si="51"/>
        <v>23409.539215357574</v>
      </c>
      <c r="BG69" s="243">
        <f t="shared" si="51"/>
        <v>25313.524746796233</v>
      </c>
      <c r="BH69" s="243">
        <f t="shared" si="51"/>
        <v>27350.789265435611</v>
      </c>
      <c r="BI69" s="244">
        <f t="shared" si="51"/>
        <v>29530.662300379743</v>
      </c>
      <c r="BJ69" s="243"/>
    </row>
    <row r="70" spans="1:62" ht="15.75" customHeight="1" x14ac:dyDescent="0.2">
      <c r="A70" s="239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4"/>
      <c r="M70" s="243"/>
      <c r="N70" s="243"/>
      <c r="O70" s="243"/>
      <c r="P70" s="244"/>
      <c r="Q70" s="243"/>
      <c r="R70" s="243"/>
      <c r="S70" s="243"/>
      <c r="T70" s="243"/>
      <c r="U70" s="244"/>
      <c r="V70" s="243"/>
      <c r="W70" s="243"/>
      <c r="X70" s="243"/>
      <c r="Y70" s="244"/>
      <c r="Z70" s="243"/>
      <c r="AA70" s="243"/>
      <c r="AB70" s="243"/>
      <c r="AC70" s="244"/>
      <c r="AD70" s="243"/>
      <c r="AE70" s="243"/>
      <c r="AF70" s="243"/>
      <c r="AG70" s="244"/>
      <c r="AH70" s="243"/>
      <c r="AI70" s="243"/>
      <c r="AJ70" s="243"/>
      <c r="AK70" s="244"/>
      <c r="AL70" s="243"/>
      <c r="AM70" s="243"/>
      <c r="AN70" s="243"/>
      <c r="AO70" s="244"/>
      <c r="AP70" s="243"/>
      <c r="AQ70" s="243"/>
      <c r="AR70" s="243"/>
      <c r="AS70" s="244"/>
      <c r="AT70" s="243"/>
      <c r="AU70" s="243"/>
      <c r="AV70" s="243"/>
      <c r="AW70" s="244"/>
      <c r="AX70" s="243"/>
      <c r="AY70" s="243"/>
      <c r="AZ70" s="243"/>
      <c r="BA70" s="244"/>
      <c r="BB70" s="243"/>
      <c r="BC70" s="243"/>
      <c r="BD70" s="243"/>
      <c r="BE70" s="244"/>
      <c r="BF70" s="243"/>
      <c r="BG70" s="243"/>
      <c r="BH70" s="243"/>
      <c r="BI70" s="244"/>
      <c r="BJ70" s="243"/>
    </row>
    <row r="71" spans="1:62" ht="15.75" customHeight="1" x14ac:dyDescent="0.2">
      <c r="A71" s="41"/>
      <c r="B71" s="42" t="s">
        <v>77</v>
      </c>
      <c r="C71" s="15">
        <f t="shared" ref="C71:G71" si="52">C46</f>
        <v>0</v>
      </c>
      <c r="D71" s="18">
        <f t="shared" si="52"/>
        <v>0</v>
      </c>
      <c r="E71" s="17">
        <f t="shared" si="52"/>
        <v>0</v>
      </c>
      <c r="F71" s="15">
        <f t="shared" si="52"/>
        <v>0</v>
      </c>
      <c r="G71" s="15">
        <f t="shared" si="52"/>
        <v>0</v>
      </c>
      <c r="H71" s="18">
        <v>46083</v>
      </c>
      <c r="I71" s="17">
        <f>H71+7</f>
        <v>46090</v>
      </c>
      <c r="J71" s="15">
        <f t="shared" ref="J71:BI71" si="53">J46</f>
        <v>0</v>
      </c>
      <c r="K71" s="15">
        <f t="shared" si="53"/>
        <v>0</v>
      </c>
      <c r="L71" s="20">
        <f t="shared" si="53"/>
        <v>0</v>
      </c>
      <c r="M71" s="17">
        <f t="shared" si="53"/>
        <v>0</v>
      </c>
      <c r="N71" s="15">
        <f t="shared" si="53"/>
        <v>0</v>
      </c>
      <c r="O71" s="15">
        <f t="shared" si="53"/>
        <v>0</v>
      </c>
      <c r="P71" s="20">
        <f t="shared" si="53"/>
        <v>0</v>
      </c>
      <c r="Q71" s="17">
        <f t="shared" si="53"/>
        <v>0</v>
      </c>
      <c r="R71" s="15">
        <f t="shared" si="53"/>
        <v>0</v>
      </c>
      <c r="S71" s="15">
        <f t="shared" si="53"/>
        <v>0</v>
      </c>
      <c r="T71" s="15">
        <f t="shared" si="53"/>
        <v>0</v>
      </c>
      <c r="U71" s="20">
        <f t="shared" si="53"/>
        <v>0</v>
      </c>
      <c r="V71" s="17">
        <f t="shared" si="53"/>
        <v>0</v>
      </c>
      <c r="W71" s="15">
        <f t="shared" si="53"/>
        <v>0</v>
      </c>
      <c r="X71" s="15">
        <f t="shared" si="53"/>
        <v>0</v>
      </c>
      <c r="Y71" s="20">
        <f t="shared" si="53"/>
        <v>0</v>
      </c>
      <c r="Z71" s="17">
        <f t="shared" si="53"/>
        <v>0</v>
      </c>
      <c r="AA71" s="15">
        <f t="shared" si="53"/>
        <v>0</v>
      </c>
      <c r="AB71" s="15">
        <f t="shared" si="53"/>
        <v>0</v>
      </c>
      <c r="AC71" s="20">
        <f t="shared" si="53"/>
        <v>0</v>
      </c>
      <c r="AD71" s="17">
        <f t="shared" si="53"/>
        <v>0</v>
      </c>
      <c r="AE71" s="15">
        <f t="shared" si="53"/>
        <v>0</v>
      </c>
      <c r="AF71" s="15">
        <f t="shared" si="53"/>
        <v>0</v>
      </c>
      <c r="AG71" s="20">
        <f t="shared" si="53"/>
        <v>0</v>
      </c>
      <c r="AH71" s="17">
        <f t="shared" si="53"/>
        <v>0</v>
      </c>
      <c r="AI71" s="15">
        <f t="shared" si="53"/>
        <v>0</v>
      </c>
      <c r="AJ71" s="15">
        <f t="shared" si="53"/>
        <v>0</v>
      </c>
      <c r="AK71" s="20">
        <f t="shared" si="53"/>
        <v>0</v>
      </c>
      <c r="AL71" s="17">
        <f t="shared" si="53"/>
        <v>0</v>
      </c>
      <c r="AM71" s="15">
        <f t="shared" si="53"/>
        <v>0</v>
      </c>
      <c r="AN71" s="15">
        <f t="shared" si="53"/>
        <v>0</v>
      </c>
      <c r="AO71" s="20">
        <f t="shared" si="53"/>
        <v>0</v>
      </c>
      <c r="AP71" s="17">
        <f t="shared" si="53"/>
        <v>0</v>
      </c>
      <c r="AQ71" s="15">
        <f t="shared" si="53"/>
        <v>0</v>
      </c>
      <c r="AR71" s="15">
        <f t="shared" si="53"/>
        <v>0</v>
      </c>
      <c r="AS71" s="20">
        <f t="shared" si="53"/>
        <v>0</v>
      </c>
      <c r="AT71" s="17">
        <f t="shared" si="53"/>
        <v>0</v>
      </c>
      <c r="AU71" s="15">
        <f t="shared" si="53"/>
        <v>0</v>
      </c>
      <c r="AV71" s="15">
        <f t="shared" si="53"/>
        <v>0</v>
      </c>
      <c r="AW71" s="20">
        <f t="shared" si="53"/>
        <v>0</v>
      </c>
      <c r="AX71" s="17">
        <f t="shared" si="53"/>
        <v>0</v>
      </c>
      <c r="AY71" s="15">
        <f t="shared" si="53"/>
        <v>0</v>
      </c>
      <c r="AZ71" s="15">
        <f t="shared" si="53"/>
        <v>0</v>
      </c>
      <c r="BA71" s="20">
        <f t="shared" si="53"/>
        <v>0</v>
      </c>
      <c r="BB71" s="17">
        <f t="shared" si="53"/>
        <v>0</v>
      </c>
      <c r="BC71" s="15">
        <f t="shared" si="53"/>
        <v>0</v>
      </c>
      <c r="BD71" s="15">
        <f t="shared" si="53"/>
        <v>0</v>
      </c>
      <c r="BE71" s="20">
        <f t="shared" si="53"/>
        <v>0</v>
      </c>
      <c r="BF71" s="17">
        <f t="shared" si="53"/>
        <v>0</v>
      </c>
      <c r="BG71" s="15">
        <f t="shared" si="53"/>
        <v>0</v>
      </c>
      <c r="BH71" s="15">
        <f t="shared" si="53"/>
        <v>0</v>
      </c>
      <c r="BI71" s="20">
        <f t="shared" si="53"/>
        <v>0</v>
      </c>
      <c r="BJ71" s="21"/>
    </row>
    <row r="72" spans="1:62" ht="15.75" customHeight="1" x14ac:dyDescent="0.2">
      <c r="A72" s="250"/>
      <c r="B72" s="475" t="s">
        <v>78</v>
      </c>
      <c r="C72" s="252">
        <f t="shared" ref="C72:G72" si="54">C40</f>
        <v>46048</v>
      </c>
      <c r="D72" s="252">
        <f t="shared" si="54"/>
        <v>46055</v>
      </c>
      <c r="E72" s="252">
        <f t="shared" si="54"/>
        <v>46062</v>
      </c>
      <c r="F72" s="252">
        <f t="shared" si="54"/>
        <v>46069</v>
      </c>
      <c r="G72" s="252">
        <f t="shared" si="54"/>
        <v>46076</v>
      </c>
      <c r="H72" s="252">
        <v>662</v>
      </c>
      <c r="I72" s="252">
        <v>165</v>
      </c>
      <c r="J72" s="252">
        <v>296</v>
      </c>
      <c r="K72" s="252">
        <v>348</v>
      </c>
      <c r="L72" s="253">
        <v>187</v>
      </c>
      <c r="M72" s="252">
        <v>361</v>
      </c>
      <c r="N72" s="252">
        <v>225</v>
      </c>
      <c r="O72" s="252">
        <v>484</v>
      </c>
      <c r="P72" s="253">
        <v>124</v>
      </c>
      <c r="Q72" s="252"/>
      <c r="R72" s="252"/>
      <c r="S72" s="252"/>
      <c r="T72" s="252"/>
      <c r="U72" s="253"/>
      <c r="V72" s="252"/>
      <c r="W72" s="252"/>
      <c r="X72" s="252"/>
      <c r="Y72" s="253"/>
      <c r="Z72" s="252"/>
      <c r="AA72" s="252"/>
      <c r="AB72" s="252"/>
      <c r="AC72" s="253"/>
      <c r="AD72" s="252"/>
      <c r="AE72" s="252"/>
      <c r="AF72" s="252"/>
      <c r="AG72" s="253"/>
      <c r="AH72" s="252"/>
      <c r="AI72" s="252"/>
      <c r="AJ72" s="252"/>
      <c r="AK72" s="253"/>
      <c r="AL72" s="252"/>
      <c r="AM72" s="252"/>
      <c r="AN72" s="252"/>
      <c r="AO72" s="253"/>
      <c r="AP72" s="252"/>
      <c r="AQ72" s="252"/>
      <c r="AR72" s="252"/>
      <c r="AS72" s="253"/>
      <c r="AT72" s="252"/>
      <c r="AU72" s="252"/>
      <c r="AV72" s="252"/>
      <c r="AW72" s="253"/>
      <c r="AX72" s="252"/>
      <c r="AY72" s="252"/>
      <c r="AZ72" s="252"/>
      <c r="BA72" s="253"/>
      <c r="BB72" s="252"/>
      <c r="BC72" s="252"/>
      <c r="BD72" s="252"/>
      <c r="BE72" s="253"/>
      <c r="BF72" s="252"/>
      <c r="BG72" s="252"/>
      <c r="BH72" s="252"/>
      <c r="BI72" s="253"/>
      <c r="BJ72" s="252"/>
    </row>
    <row r="73" spans="1:62" ht="15.75" customHeight="1" x14ac:dyDescent="0.2">
      <c r="A73" s="250"/>
      <c r="B73" s="475" t="s">
        <v>79</v>
      </c>
      <c r="C73" s="252"/>
      <c r="D73" s="252"/>
      <c r="E73" s="252"/>
      <c r="F73" s="252"/>
      <c r="G73" s="252"/>
      <c r="H73" s="252">
        <v>290</v>
      </c>
      <c r="I73" s="252">
        <v>-175</v>
      </c>
      <c r="J73" s="252">
        <v>-45</v>
      </c>
      <c r="K73" s="252">
        <v>7</v>
      </c>
      <c r="L73" s="253">
        <v>-154</v>
      </c>
      <c r="M73" s="252">
        <v>12</v>
      </c>
      <c r="N73" s="252">
        <v>-128</v>
      </c>
      <c r="O73" s="252">
        <v>132</v>
      </c>
      <c r="P73" s="253">
        <v>-228</v>
      </c>
      <c r="Q73" s="252"/>
      <c r="R73" s="252"/>
      <c r="S73" s="252"/>
      <c r="T73" s="252"/>
      <c r="U73" s="253"/>
      <c r="V73" s="252"/>
      <c r="W73" s="252"/>
      <c r="X73" s="252"/>
      <c r="Y73" s="253"/>
      <c r="Z73" s="252"/>
      <c r="AA73" s="252"/>
      <c r="AB73" s="252"/>
      <c r="AC73" s="253"/>
      <c r="AD73" s="252"/>
      <c r="AE73" s="252"/>
      <c r="AF73" s="252"/>
      <c r="AG73" s="253"/>
      <c r="AH73" s="252"/>
      <c r="AI73" s="252"/>
      <c r="AJ73" s="252"/>
      <c r="AK73" s="253"/>
      <c r="AL73" s="252"/>
      <c r="AM73" s="252"/>
      <c r="AN73" s="252"/>
      <c r="AO73" s="253"/>
      <c r="AP73" s="252"/>
      <c r="AQ73" s="252"/>
      <c r="AR73" s="252"/>
      <c r="AS73" s="253"/>
      <c r="AT73" s="252"/>
      <c r="AU73" s="252"/>
      <c r="AV73" s="252"/>
      <c r="AW73" s="253"/>
      <c r="AX73" s="252"/>
      <c r="AY73" s="252"/>
      <c r="AZ73" s="252"/>
      <c r="BA73" s="253"/>
      <c r="BB73" s="252"/>
      <c r="BC73" s="252"/>
      <c r="BD73" s="252"/>
      <c r="BE73" s="253"/>
      <c r="BF73" s="252"/>
      <c r="BG73" s="252"/>
      <c r="BH73" s="252"/>
      <c r="BI73" s="253"/>
      <c r="BJ73" s="252"/>
    </row>
    <row r="74" spans="1:62" ht="15.75" customHeight="1" x14ac:dyDescent="0.2">
      <c r="A74" s="250"/>
      <c r="B74" s="475" t="s">
        <v>80</v>
      </c>
      <c r="C74" s="252"/>
      <c r="D74" s="252"/>
      <c r="E74" s="252"/>
      <c r="F74" s="252"/>
      <c r="G74" s="252"/>
      <c r="H74" s="252">
        <v>34</v>
      </c>
      <c r="I74" s="252">
        <v>58</v>
      </c>
      <c r="J74" s="252">
        <v>72</v>
      </c>
      <c r="K74" s="252">
        <v>46</v>
      </c>
      <c r="L74" s="253">
        <v>45</v>
      </c>
      <c r="M74" s="252">
        <v>40</v>
      </c>
      <c r="N74" s="252">
        <v>66</v>
      </c>
      <c r="O74" s="252">
        <v>55</v>
      </c>
      <c r="P74" s="253">
        <v>41</v>
      </c>
      <c r="Q74" s="252"/>
      <c r="R74" s="252"/>
      <c r="S74" s="252"/>
      <c r="T74" s="252"/>
      <c r="U74" s="253"/>
      <c r="V74" s="252"/>
      <c r="W74" s="252"/>
      <c r="X74" s="252"/>
      <c r="Y74" s="253"/>
      <c r="Z74" s="252"/>
      <c r="AA74" s="252"/>
      <c r="AB74" s="252"/>
      <c r="AC74" s="253"/>
      <c r="AD74" s="252"/>
      <c r="AE74" s="252"/>
      <c r="AF74" s="252"/>
      <c r="AG74" s="253"/>
      <c r="AH74" s="252"/>
      <c r="AI74" s="252"/>
      <c r="AJ74" s="252"/>
      <c r="AK74" s="253"/>
      <c r="AL74" s="252"/>
      <c r="AM74" s="252"/>
      <c r="AN74" s="252"/>
      <c r="AO74" s="253"/>
      <c r="AP74" s="252"/>
      <c r="AQ74" s="252"/>
      <c r="AR74" s="252"/>
      <c r="AS74" s="253"/>
      <c r="AT74" s="252"/>
      <c r="AU74" s="252"/>
      <c r="AV74" s="252"/>
      <c r="AW74" s="253"/>
      <c r="AX74" s="252"/>
      <c r="AY74" s="252"/>
      <c r="AZ74" s="252"/>
      <c r="BA74" s="253"/>
      <c r="BB74" s="252"/>
      <c r="BC74" s="252"/>
      <c r="BD74" s="252"/>
      <c r="BE74" s="253"/>
      <c r="BF74" s="252"/>
      <c r="BG74" s="252"/>
      <c r="BH74" s="252"/>
      <c r="BI74" s="253"/>
      <c r="BJ74" s="252"/>
    </row>
    <row r="75" spans="1:62" ht="15.75" customHeight="1" x14ac:dyDescent="0.2">
      <c r="A75" s="254"/>
      <c r="B75" s="476" t="s">
        <v>81</v>
      </c>
      <c r="C75" s="255"/>
      <c r="D75" s="255"/>
      <c r="E75" s="255"/>
      <c r="F75" s="255"/>
      <c r="G75" s="255"/>
      <c r="H75" s="255">
        <v>0.33</v>
      </c>
      <c r="I75" s="255">
        <v>0</v>
      </c>
      <c r="J75" s="255">
        <v>0</v>
      </c>
      <c r="K75" s="255">
        <v>0</v>
      </c>
      <c r="L75" s="256">
        <v>0</v>
      </c>
      <c r="M75" s="255">
        <v>0</v>
      </c>
      <c r="N75" s="255">
        <v>0</v>
      </c>
      <c r="O75" s="255">
        <v>0</v>
      </c>
      <c r="P75" s="256">
        <v>0</v>
      </c>
      <c r="Q75" s="255"/>
      <c r="R75" s="255"/>
      <c r="S75" s="255"/>
      <c r="T75" s="255"/>
      <c r="U75" s="256"/>
      <c r="V75" s="255"/>
      <c r="W75" s="255"/>
      <c r="X75" s="255"/>
      <c r="Y75" s="256"/>
      <c r="Z75" s="255"/>
      <c r="AA75" s="255"/>
      <c r="AB75" s="255"/>
      <c r="AC75" s="256"/>
      <c r="AD75" s="255"/>
      <c r="AE75" s="255"/>
      <c r="AF75" s="255"/>
      <c r="AG75" s="256"/>
      <c r="AH75" s="255"/>
      <c r="AI75" s="255"/>
      <c r="AJ75" s="255"/>
      <c r="AK75" s="256"/>
      <c r="AL75" s="255"/>
      <c r="AM75" s="255"/>
      <c r="AN75" s="255"/>
      <c r="AO75" s="256"/>
      <c r="AP75" s="255"/>
      <c r="AQ75" s="255"/>
      <c r="AR75" s="255"/>
      <c r="AS75" s="256"/>
      <c r="AT75" s="255"/>
      <c r="AU75" s="255"/>
      <c r="AV75" s="255"/>
      <c r="AW75" s="256"/>
      <c r="AX75" s="255"/>
      <c r="AY75" s="255"/>
      <c r="AZ75" s="255"/>
      <c r="BA75" s="256"/>
      <c r="BB75" s="255"/>
      <c r="BC75" s="255"/>
      <c r="BD75" s="255"/>
      <c r="BE75" s="256"/>
      <c r="BF75" s="255"/>
      <c r="BG75" s="255"/>
      <c r="BH75" s="255"/>
      <c r="BI75" s="256"/>
      <c r="BJ75" s="255"/>
    </row>
    <row r="76" spans="1:62" ht="15.75" customHeight="1" x14ac:dyDescent="0.2">
      <c r="A76" s="480"/>
      <c r="B76" s="477" t="s">
        <v>82</v>
      </c>
      <c r="C76" s="255"/>
      <c r="D76" s="255"/>
      <c r="E76" s="255"/>
      <c r="F76" s="255"/>
      <c r="G76" s="255"/>
      <c r="H76" s="255">
        <v>0.27700000000000002</v>
      </c>
      <c r="I76" s="255">
        <v>0.28570000000000001</v>
      </c>
      <c r="J76" s="255">
        <v>0.35</v>
      </c>
      <c r="K76" s="255">
        <v>0.1336</v>
      </c>
      <c r="L76" s="257">
        <v>7.85E-2</v>
      </c>
      <c r="M76" s="258">
        <v>6.9000000000000006E-2</v>
      </c>
      <c r="N76" s="255">
        <v>0.28000000000000003</v>
      </c>
      <c r="O76" s="255">
        <v>0.13</v>
      </c>
      <c r="P76" s="256">
        <v>3.0000000000000001E-3</v>
      </c>
      <c r="Q76" s="255"/>
      <c r="R76" s="255"/>
      <c r="S76" s="255"/>
      <c r="T76" s="255"/>
      <c r="U76" s="256"/>
      <c r="V76" s="255"/>
      <c r="W76" s="255"/>
      <c r="X76" s="255"/>
      <c r="Y76" s="256"/>
      <c r="Z76" s="255"/>
      <c r="AA76" s="255"/>
      <c r="AB76" s="255"/>
      <c r="AC76" s="256"/>
      <c r="AD76" s="255"/>
      <c r="AE76" s="255"/>
      <c r="AF76" s="255"/>
      <c r="AG76" s="256"/>
      <c r="AH76" s="255"/>
      <c r="AI76" s="255"/>
      <c r="AJ76" s="255"/>
      <c r="AK76" s="256"/>
      <c r="AL76" s="255"/>
      <c r="AM76" s="255"/>
      <c r="AN76" s="255"/>
      <c r="AO76" s="256"/>
      <c r="AP76" s="255"/>
      <c r="AQ76" s="255"/>
      <c r="AR76" s="255"/>
      <c r="AS76" s="256"/>
      <c r="AT76" s="255"/>
      <c r="AU76" s="255"/>
      <c r="AV76" s="255"/>
      <c r="AW76" s="256"/>
      <c r="AX76" s="255"/>
      <c r="AY76" s="255"/>
      <c r="AZ76" s="255"/>
      <c r="BA76" s="256"/>
      <c r="BB76" s="255"/>
      <c r="BC76" s="255"/>
      <c r="BD76" s="255"/>
      <c r="BE76" s="256"/>
      <c r="BF76" s="255"/>
      <c r="BG76" s="255"/>
      <c r="BH76" s="255"/>
      <c r="BI76" s="256"/>
      <c r="BJ76" s="255"/>
    </row>
    <row r="77" spans="1:62" ht="15.75" customHeight="1" x14ac:dyDescent="0.2">
      <c r="A77" s="254"/>
      <c r="B77" s="480"/>
      <c r="C77" s="255"/>
      <c r="D77" s="255"/>
      <c r="E77" s="255"/>
      <c r="F77" s="255"/>
      <c r="G77" s="255"/>
      <c r="H77" s="255"/>
      <c r="I77" s="255"/>
      <c r="J77" s="255"/>
      <c r="K77" s="252">
        <v>118</v>
      </c>
      <c r="L77" s="256"/>
      <c r="M77" s="255"/>
      <c r="N77" s="255"/>
      <c r="O77" s="255"/>
      <c r="P77" s="256"/>
      <c r="Q77" s="255"/>
      <c r="R77" s="255"/>
      <c r="S77" s="255"/>
      <c r="T77" s="255"/>
      <c r="U77" s="256"/>
      <c r="V77" s="255"/>
      <c r="W77" s="255"/>
      <c r="X77" s="255"/>
      <c r="Y77" s="256"/>
      <c r="Z77" s="255"/>
      <c r="AA77" s="255"/>
      <c r="AB77" s="255"/>
      <c r="AC77" s="256"/>
      <c r="AD77" s="255"/>
      <c r="AE77" s="255"/>
      <c r="AF77" s="255"/>
      <c r="AG77" s="256"/>
      <c r="AH77" s="255"/>
      <c r="AI77" s="255"/>
      <c r="AJ77" s="255"/>
      <c r="AK77" s="256"/>
      <c r="AL77" s="255"/>
      <c r="AM77" s="255"/>
      <c r="AN77" s="255"/>
      <c r="AO77" s="256"/>
      <c r="AP77" s="255"/>
      <c r="AQ77" s="255"/>
      <c r="AR77" s="255"/>
      <c r="AS77" s="256"/>
      <c r="AT77" s="255"/>
      <c r="AU77" s="255"/>
      <c r="AV77" s="255"/>
      <c r="AW77" s="256"/>
      <c r="AX77" s="255"/>
      <c r="AY77" s="255"/>
      <c r="AZ77" s="255"/>
      <c r="BA77" s="256"/>
      <c r="BB77" s="255"/>
      <c r="BC77" s="255"/>
      <c r="BD77" s="255"/>
      <c r="BE77" s="256"/>
      <c r="BF77" s="255"/>
      <c r="BG77" s="255"/>
      <c r="BH77" s="255"/>
      <c r="BI77" s="256"/>
      <c r="BJ77" s="255"/>
    </row>
    <row r="78" spans="1:62" ht="15.75" customHeight="1" x14ac:dyDescent="0.2">
      <c r="A78" s="239"/>
      <c r="B78" s="478"/>
      <c r="C78" s="259"/>
      <c r="D78" s="243"/>
      <c r="E78" s="243"/>
      <c r="F78" s="243"/>
      <c r="G78" s="243"/>
      <c r="H78" s="243"/>
      <c r="I78" s="243"/>
      <c r="J78" s="243"/>
      <c r="K78" s="243"/>
      <c r="L78" s="244"/>
      <c r="M78" s="243"/>
      <c r="N78" s="243"/>
      <c r="O78" s="243"/>
      <c r="P78" s="244"/>
      <c r="Q78" s="243"/>
      <c r="R78" s="243"/>
      <c r="S78" s="243"/>
      <c r="T78" s="243"/>
      <c r="U78" s="244"/>
      <c r="V78" s="243"/>
      <c r="W78" s="243"/>
      <c r="X78" s="243"/>
      <c r="Y78" s="244"/>
      <c r="Z78" s="243"/>
      <c r="AA78" s="243"/>
      <c r="AB78" s="243"/>
      <c r="AC78" s="244"/>
      <c r="AD78" s="243"/>
      <c r="AE78" s="243"/>
      <c r="AF78" s="243"/>
      <c r="AG78" s="244"/>
      <c r="AH78" s="243"/>
      <c r="AI78" s="243"/>
      <c r="AJ78" s="243"/>
      <c r="AK78" s="244"/>
      <c r="AL78" s="243"/>
      <c r="AM78" s="243"/>
      <c r="AN78" s="243"/>
      <c r="AO78" s="244"/>
      <c r="AP78" s="243"/>
      <c r="AQ78" s="243"/>
      <c r="AR78" s="243"/>
      <c r="AS78" s="244"/>
      <c r="AT78" s="243"/>
      <c r="AU78" s="243"/>
      <c r="AV78" s="243"/>
      <c r="AW78" s="244"/>
      <c r="AX78" s="243"/>
      <c r="AY78" s="243"/>
      <c r="AZ78" s="243"/>
      <c r="BA78" s="244"/>
      <c r="BB78" s="243"/>
      <c r="BC78" s="243"/>
      <c r="BD78" s="243"/>
      <c r="BE78" s="244"/>
      <c r="BF78" s="243"/>
      <c r="BG78" s="243"/>
      <c r="BH78" s="243"/>
      <c r="BI78" s="244"/>
      <c r="BJ78" s="243"/>
    </row>
    <row r="79" spans="1:62" s="243" customFormat="1" ht="16" x14ac:dyDescent="0.2"/>
    <row r="80" spans="1:62" ht="15.75" customHeight="1" x14ac:dyDescent="0.2">
      <c r="A80" s="239"/>
      <c r="B80" s="243"/>
      <c r="C80" s="243"/>
      <c r="D80" s="243"/>
      <c r="E80" s="243"/>
      <c r="F80" s="261"/>
      <c r="G80" s="261"/>
      <c r="H80" s="261"/>
      <c r="I80" s="261"/>
      <c r="J80" s="261"/>
      <c r="K80" s="261"/>
      <c r="L80" s="262"/>
      <c r="M80" s="261"/>
      <c r="N80" s="261"/>
      <c r="O80" s="243"/>
      <c r="P80" s="244"/>
      <c r="Q80" s="243"/>
      <c r="R80" s="243"/>
      <c r="S80" s="243"/>
      <c r="T80" s="243"/>
      <c r="U80" s="244"/>
      <c r="V80" s="243"/>
      <c r="W80" s="243"/>
      <c r="X80" s="243"/>
      <c r="Y80" s="244"/>
      <c r="Z80" s="243"/>
      <c r="AA80" s="243"/>
      <c r="AB80" s="243"/>
      <c r="AC80" s="244"/>
      <c r="AD80" s="243"/>
      <c r="AE80" s="243"/>
      <c r="AF80" s="243"/>
      <c r="AG80" s="244"/>
      <c r="AH80" s="243"/>
      <c r="AI80" s="243"/>
      <c r="AJ80" s="243"/>
      <c r="AK80" s="244"/>
      <c r="AL80" s="243"/>
      <c r="AM80" s="243"/>
      <c r="AN80" s="243"/>
      <c r="AO80" s="244"/>
      <c r="AP80" s="243"/>
      <c r="AQ80" s="243"/>
      <c r="AR80" s="243"/>
      <c r="AS80" s="244"/>
      <c r="AT80" s="243"/>
      <c r="AU80" s="243"/>
      <c r="AV80" s="243"/>
      <c r="AW80" s="244"/>
      <c r="AX80" s="243"/>
      <c r="AY80" s="243"/>
      <c r="AZ80" s="243"/>
      <c r="BA80" s="244"/>
      <c r="BB80" s="243"/>
      <c r="BC80" s="243"/>
      <c r="BD80" s="243"/>
      <c r="BE80" s="244"/>
      <c r="BF80" s="243"/>
      <c r="BG80" s="243"/>
      <c r="BH80" s="243"/>
      <c r="BI80" s="244"/>
      <c r="BJ80" s="243"/>
    </row>
    <row r="81" spans="1:62" ht="15.75" customHeight="1" x14ac:dyDescent="0.2">
      <c r="A81" s="239"/>
      <c r="B81" s="243"/>
      <c r="C81" s="243"/>
      <c r="D81" s="263"/>
      <c r="F81" s="264"/>
      <c r="G81" s="264"/>
      <c r="H81" s="264"/>
      <c r="I81" s="264"/>
      <c r="J81" s="264"/>
      <c r="K81" s="264"/>
      <c r="L81" s="265"/>
      <c r="M81" s="264"/>
      <c r="N81" s="264"/>
      <c r="O81" s="243"/>
      <c r="P81" s="244"/>
      <c r="Q81" s="243"/>
      <c r="R81" s="243"/>
      <c r="S81" s="243"/>
      <c r="T81" s="243"/>
      <c r="U81" s="244"/>
      <c r="V81" s="243"/>
      <c r="W81" s="243"/>
      <c r="X81" s="243"/>
      <c r="Y81" s="244"/>
      <c r="Z81" s="243"/>
      <c r="AA81" s="243"/>
      <c r="AB81" s="243"/>
      <c r="AC81" s="244"/>
      <c r="AD81" s="243"/>
      <c r="AE81" s="243"/>
      <c r="AF81" s="243"/>
      <c r="AG81" s="244"/>
      <c r="AH81" s="243"/>
      <c r="AI81" s="243"/>
      <c r="AJ81" s="243"/>
      <c r="AK81" s="244"/>
      <c r="AL81" s="243"/>
      <c r="AM81" s="243"/>
      <c r="AN81" s="243"/>
      <c r="AO81" s="244"/>
      <c r="AP81" s="243"/>
      <c r="AQ81" s="243"/>
      <c r="AR81" s="243"/>
      <c r="AS81" s="244"/>
      <c r="AT81" s="243"/>
      <c r="AU81" s="243"/>
      <c r="AV81" s="243"/>
      <c r="AW81" s="244"/>
      <c r="AX81" s="243"/>
      <c r="AY81" s="243"/>
      <c r="AZ81" s="243"/>
      <c r="BA81" s="244"/>
      <c r="BB81" s="243"/>
      <c r="BC81" s="243"/>
      <c r="BD81" s="243"/>
      <c r="BE81" s="244"/>
      <c r="BF81" s="243"/>
      <c r="BG81" s="243"/>
      <c r="BH81" s="243"/>
      <c r="BI81" s="244"/>
      <c r="BJ81" s="243"/>
    </row>
    <row r="82" spans="1:62" ht="15.75" customHeight="1" x14ac:dyDescent="0.2">
      <c r="A82" s="266"/>
      <c r="B82" s="243"/>
      <c r="C82" s="267"/>
      <c r="D82" s="268"/>
      <c r="E82" s="269"/>
      <c r="F82" s="270"/>
      <c r="G82" s="270"/>
      <c r="H82" s="270"/>
      <c r="I82" s="270"/>
      <c r="J82" s="270"/>
      <c r="K82" s="270"/>
      <c r="L82" s="271"/>
      <c r="M82" s="270"/>
      <c r="N82" s="270"/>
      <c r="O82" s="267"/>
      <c r="P82" s="272"/>
      <c r="Q82" s="267"/>
      <c r="R82" s="267"/>
      <c r="S82" s="267"/>
      <c r="T82" s="267"/>
      <c r="U82" s="272"/>
      <c r="V82" s="267"/>
      <c r="W82" s="267"/>
      <c r="X82" s="267"/>
      <c r="Y82" s="272"/>
      <c r="Z82" s="267"/>
      <c r="AA82" s="267"/>
      <c r="AB82" s="267"/>
      <c r="AC82" s="272"/>
      <c r="AD82" s="267"/>
      <c r="AE82" s="267"/>
      <c r="AF82" s="267"/>
      <c r="AG82" s="272"/>
      <c r="AH82" s="267"/>
      <c r="AI82" s="267"/>
      <c r="AJ82" s="267"/>
      <c r="AK82" s="272"/>
      <c r="AL82" s="267"/>
      <c r="AM82" s="267"/>
      <c r="AN82" s="267"/>
      <c r="AO82" s="272"/>
      <c r="AP82" s="267"/>
      <c r="AQ82" s="267"/>
      <c r="AR82" s="267"/>
      <c r="AS82" s="272"/>
      <c r="AT82" s="267"/>
      <c r="AU82" s="267"/>
      <c r="AV82" s="267"/>
      <c r="AW82" s="272"/>
      <c r="AX82" s="267"/>
      <c r="AY82" s="267"/>
      <c r="AZ82" s="267"/>
      <c r="BA82" s="272"/>
      <c r="BB82" s="267"/>
      <c r="BC82" s="267"/>
      <c r="BD82" s="267"/>
      <c r="BE82" s="272"/>
      <c r="BF82" s="267"/>
      <c r="BG82" s="267"/>
      <c r="BH82" s="267"/>
      <c r="BI82" s="272"/>
      <c r="BJ82" s="267"/>
    </row>
    <row r="83" spans="1:62" ht="15.75" customHeight="1" x14ac:dyDescent="0.2">
      <c r="A83" s="239"/>
      <c r="B83" s="243"/>
      <c r="C83" s="243"/>
      <c r="D83" s="263"/>
      <c r="F83" s="273"/>
      <c r="G83" s="273"/>
      <c r="H83" s="273"/>
      <c r="I83" s="273"/>
      <c r="J83" s="273"/>
      <c r="K83" s="273"/>
      <c r="L83" s="274"/>
      <c r="M83" s="273"/>
      <c r="N83" s="273"/>
      <c r="O83" s="243"/>
      <c r="P83" s="244"/>
      <c r="Q83" s="243"/>
      <c r="R83" s="243"/>
      <c r="S83" s="243"/>
      <c r="T83" s="243"/>
      <c r="U83" s="244"/>
      <c r="V83" s="243"/>
      <c r="W83" s="243"/>
      <c r="X83" s="243"/>
      <c r="Y83" s="244"/>
      <c r="Z83" s="243"/>
      <c r="AA83" s="243"/>
      <c r="AB83" s="243"/>
      <c r="AC83" s="244"/>
      <c r="AD83" s="243"/>
      <c r="AE83" s="243"/>
      <c r="AF83" s="243"/>
      <c r="AG83" s="244"/>
      <c r="AH83" s="243"/>
      <c r="AI83" s="243"/>
      <c r="AJ83" s="243"/>
      <c r="AK83" s="244"/>
      <c r="AL83" s="243"/>
      <c r="AM83" s="243"/>
      <c r="AN83" s="243"/>
      <c r="AO83" s="244"/>
      <c r="AP83" s="243"/>
      <c r="AQ83" s="243"/>
      <c r="AR83" s="243"/>
      <c r="AS83" s="244"/>
      <c r="AT83" s="243"/>
      <c r="AU83" s="243"/>
      <c r="AV83" s="243"/>
      <c r="AW83" s="244"/>
      <c r="AX83" s="243"/>
      <c r="AY83" s="243"/>
      <c r="AZ83" s="243"/>
      <c r="BA83" s="244"/>
      <c r="BB83" s="243"/>
      <c r="BC83" s="243"/>
      <c r="BD83" s="243"/>
      <c r="BE83" s="244"/>
      <c r="BF83" s="243"/>
      <c r="BG83" s="243"/>
      <c r="BH83" s="243"/>
      <c r="BI83" s="244"/>
      <c r="BJ83" s="243"/>
    </row>
    <row r="84" spans="1:62" ht="15.75" customHeight="1" x14ac:dyDescent="0.2">
      <c r="A84" s="266"/>
      <c r="B84" s="243"/>
      <c r="C84" s="267"/>
      <c r="D84" s="268"/>
      <c r="E84" s="269"/>
      <c r="F84" s="270"/>
      <c r="G84" s="270"/>
      <c r="H84" s="270"/>
      <c r="I84" s="270"/>
      <c r="J84" s="270"/>
      <c r="K84" s="270"/>
      <c r="L84" s="271"/>
      <c r="M84" s="270"/>
      <c r="N84" s="270"/>
      <c r="O84" s="267"/>
      <c r="P84" s="272"/>
      <c r="Q84" s="267"/>
      <c r="R84" s="267"/>
      <c r="S84" s="267"/>
      <c r="T84" s="267"/>
      <c r="U84" s="272"/>
      <c r="V84" s="267"/>
      <c r="W84" s="267"/>
      <c r="X84" s="267"/>
      <c r="Y84" s="272"/>
      <c r="Z84" s="267"/>
      <c r="AA84" s="267"/>
      <c r="AB84" s="267"/>
      <c r="AC84" s="272"/>
      <c r="AD84" s="267"/>
      <c r="AE84" s="267"/>
      <c r="AF84" s="267"/>
      <c r="AG84" s="272"/>
      <c r="AH84" s="267"/>
      <c r="AI84" s="267"/>
      <c r="AJ84" s="267"/>
      <c r="AK84" s="272"/>
      <c r="AL84" s="267"/>
      <c r="AM84" s="267"/>
      <c r="AN84" s="267"/>
      <c r="AO84" s="272"/>
      <c r="AP84" s="267"/>
      <c r="AQ84" s="267"/>
      <c r="AR84" s="267"/>
      <c r="AS84" s="272"/>
      <c r="AT84" s="267"/>
      <c r="AU84" s="267"/>
      <c r="AV84" s="267"/>
      <c r="AW84" s="272"/>
      <c r="AX84" s="267"/>
      <c r="AY84" s="267"/>
      <c r="AZ84" s="267"/>
      <c r="BA84" s="272"/>
      <c r="BB84" s="267"/>
      <c r="BC84" s="267"/>
      <c r="BD84" s="267"/>
      <c r="BE84" s="272"/>
      <c r="BF84" s="267"/>
      <c r="BG84" s="267"/>
      <c r="BH84" s="267"/>
      <c r="BI84" s="272"/>
      <c r="BJ84" s="267"/>
    </row>
    <row r="85" spans="1:62" ht="15.75" customHeight="1" x14ac:dyDescent="0.2">
      <c r="A85" s="266"/>
      <c r="B85" s="243"/>
      <c r="C85" s="267"/>
      <c r="D85" s="268"/>
      <c r="E85" s="269"/>
      <c r="F85" s="275"/>
      <c r="G85" s="275"/>
      <c r="H85" s="275"/>
      <c r="I85" s="275"/>
      <c r="J85" s="275"/>
      <c r="K85" s="275"/>
      <c r="L85" s="276"/>
      <c r="M85" s="275"/>
      <c r="N85" s="275"/>
      <c r="O85" s="267"/>
      <c r="P85" s="272"/>
      <c r="Q85" s="267"/>
      <c r="R85" s="267"/>
      <c r="S85" s="267"/>
      <c r="T85" s="267"/>
      <c r="U85" s="272"/>
      <c r="V85" s="267"/>
      <c r="W85" s="267"/>
      <c r="X85" s="267"/>
      <c r="Y85" s="272"/>
      <c r="Z85" s="267"/>
      <c r="AA85" s="267"/>
      <c r="AB85" s="267"/>
      <c r="AC85" s="272"/>
      <c r="AD85" s="267"/>
      <c r="AE85" s="267"/>
      <c r="AF85" s="267"/>
      <c r="AG85" s="272"/>
      <c r="AH85" s="267"/>
      <c r="AI85" s="267"/>
      <c r="AJ85" s="267"/>
      <c r="AK85" s="272"/>
      <c r="AL85" s="267"/>
      <c r="AM85" s="267"/>
      <c r="AN85" s="267"/>
      <c r="AO85" s="272"/>
      <c r="AP85" s="267"/>
      <c r="AQ85" s="267"/>
      <c r="AR85" s="267"/>
      <c r="AS85" s="272"/>
      <c r="AT85" s="267"/>
      <c r="AU85" s="267"/>
      <c r="AV85" s="267"/>
      <c r="AW85" s="272"/>
      <c r="AX85" s="267"/>
      <c r="AY85" s="267"/>
      <c r="AZ85" s="267"/>
      <c r="BA85" s="272"/>
      <c r="BB85" s="267"/>
      <c r="BC85" s="267"/>
      <c r="BD85" s="267"/>
      <c r="BE85" s="272"/>
      <c r="BF85" s="267"/>
      <c r="BG85" s="267"/>
      <c r="BH85" s="267"/>
      <c r="BI85" s="272"/>
      <c r="BJ85" s="267"/>
    </row>
    <row r="86" spans="1:62" ht="15.75" customHeight="1" x14ac:dyDescent="0.2">
      <c r="A86" s="239"/>
      <c r="B86" s="243"/>
      <c r="C86" s="243"/>
      <c r="D86" s="263"/>
      <c r="E86" s="277"/>
      <c r="F86" s="273"/>
      <c r="G86" s="273"/>
      <c r="H86" s="204"/>
      <c r="I86" s="204"/>
      <c r="J86" s="204"/>
      <c r="K86" s="273"/>
      <c r="L86" s="274"/>
      <c r="M86" s="273"/>
      <c r="N86" s="273"/>
      <c r="O86" s="243"/>
      <c r="P86" s="244"/>
      <c r="Q86" s="243"/>
      <c r="R86" s="243"/>
      <c r="S86" s="243"/>
      <c r="T86" s="243"/>
      <c r="U86" s="244"/>
      <c r="V86" s="243"/>
      <c r="W86" s="243"/>
      <c r="X86" s="243"/>
      <c r="Y86" s="244"/>
      <c r="Z86" s="243"/>
      <c r="AA86" s="243"/>
      <c r="AB86" s="243"/>
      <c r="AC86" s="244"/>
      <c r="AD86" s="243"/>
      <c r="AE86" s="243"/>
      <c r="AF86" s="243"/>
      <c r="AG86" s="244"/>
      <c r="AH86" s="243"/>
      <c r="AI86" s="243"/>
      <c r="AJ86" s="243"/>
      <c r="AK86" s="244"/>
      <c r="AL86" s="243"/>
      <c r="AM86" s="243"/>
      <c r="AN86" s="243"/>
      <c r="AO86" s="244"/>
      <c r="AP86" s="243"/>
      <c r="AQ86" s="243"/>
      <c r="AR86" s="243"/>
      <c r="AS86" s="244"/>
      <c r="AT86" s="243"/>
      <c r="AU86" s="243"/>
      <c r="AV86" s="243"/>
      <c r="AW86" s="244"/>
      <c r="AX86" s="243"/>
      <c r="AY86" s="243"/>
      <c r="AZ86" s="243"/>
      <c r="BA86" s="244"/>
      <c r="BB86" s="243"/>
      <c r="BC86" s="243"/>
      <c r="BD86" s="243"/>
      <c r="BE86" s="244"/>
      <c r="BF86" s="243"/>
      <c r="BG86" s="243"/>
      <c r="BH86" s="243"/>
      <c r="BI86" s="244"/>
      <c r="BJ86" s="243"/>
    </row>
    <row r="87" spans="1:62" ht="15.75" customHeight="1" x14ac:dyDescent="0.2">
      <c r="A87" s="239"/>
      <c r="B87" s="243"/>
      <c r="C87" s="243"/>
      <c r="D87" s="263"/>
      <c r="E87" s="277"/>
      <c r="F87" s="273"/>
      <c r="G87" s="273"/>
      <c r="H87" s="204"/>
      <c r="I87" s="204"/>
      <c r="J87" s="204"/>
      <c r="K87" s="273"/>
      <c r="L87" s="274"/>
      <c r="M87" s="273"/>
      <c r="N87" s="273"/>
      <c r="O87" s="243"/>
      <c r="P87" s="244"/>
      <c r="Q87" s="243"/>
      <c r="R87" s="243"/>
      <c r="S87" s="243"/>
      <c r="T87" s="243"/>
      <c r="U87" s="244"/>
      <c r="V87" s="243"/>
      <c r="W87" s="243"/>
      <c r="X87" s="243"/>
      <c r="Y87" s="244"/>
      <c r="Z87" s="243"/>
      <c r="AA87" s="243"/>
      <c r="AB87" s="243"/>
      <c r="AC87" s="244"/>
      <c r="AD87" s="243"/>
      <c r="AE87" s="243"/>
      <c r="AF87" s="243"/>
      <c r="AG87" s="244"/>
      <c r="AH87" s="243"/>
      <c r="AI87" s="243"/>
      <c r="AJ87" s="243"/>
      <c r="AK87" s="244"/>
      <c r="AL87" s="243"/>
      <c r="AM87" s="243"/>
      <c r="AN87" s="243"/>
      <c r="AO87" s="244"/>
      <c r="AP87" s="243"/>
      <c r="AQ87" s="243"/>
      <c r="AR87" s="243"/>
      <c r="AS87" s="244"/>
      <c r="AT87" s="243"/>
      <c r="AU87" s="243"/>
      <c r="AV87" s="243"/>
      <c r="AW87" s="244"/>
      <c r="AX87" s="243"/>
      <c r="AY87" s="243"/>
      <c r="AZ87" s="243"/>
      <c r="BA87" s="244"/>
      <c r="BB87" s="243"/>
      <c r="BC87" s="243"/>
      <c r="BD87" s="243"/>
      <c r="BE87" s="244"/>
      <c r="BF87" s="243"/>
      <c r="BG87" s="243"/>
      <c r="BH87" s="243"/>
      <c r="BI87" s="244"/>
      <c r="BJ87" s="243"/>
    </row>
    <row r="88" spans="1:62" ht="15.75" customHeight="1" x14ac:dyDescent="0.2">
      <c r="A88" s="239"/>
      <c r="B88" s="243"/>
      <c r="C88" s="243"/>
      <c r="D88" s="263"/>
      <c r="E88" s="277"/>
      <c r="F88" s="273"/>
      <c r="G88" s="273"/>
      <c r="H88" s="273"/>
      <c r="I88" s="273"/>
      <c r="J88" s="273"/>
      <c r="K88" s="273"/>
      <c r="L88" s="274"/>
      <c r="M88" s="273"/>
      <c r="N88" s="273"/>
      <c r="O88" s="243"/>
      <c r="P88" s="244"/>
      <c r="Q88" s="243"/>
      <c r="R88" s="243"/>
      <c r="S88" s="243"/>
      <c r="T88" s="243"/>
      <c r="U88" s="244"/>
      <c r="V88" s="243"/>
      <c r="W88" s="243"/>
      <c r="X88" s="243"/>
      <c r="Y88" s="244"/>
      <c r="Z88" s="243"/>
      <c r="AA88" s="243"/>
      <c r="AB88" s="243"/>
      <c r="AC88" s="244"/>
      <c r="AD88" s="243"/>
      <c r="AE88" s="243"/>
      <c r="AF88" s="243"/>
      <c r="AG88" s="244"/>
      <c r="AH88" s="243"/>
      <c r="AI88" s="243"/>
      <c r="AJ88" s="243"/>
      <c r="AK88" s="244"/>
      <c r="AL88" s="243"/>
      <c r="AM88" s="243"/>
      <c r="AN88" s="243"/>
      <c r="AO88" s="244"/>
      <c r="AP88" s="243"/>
      <c r="AQ88" s="243"/>
      <c r="AR88" s="243"/>
      <c r="AS88" s="244"/>
      <c r="AT88" s="243"/>
      <c r="AU88" s="243"/>
      <c r="AV88" s="243"/>
      <c r="AW88" s="244"/>
      <c r="AX88" s="243"/>
      <c r="AY88" s="243"/>
      <c r="AZ88" s="243"/>
      <c r="BA88" s="244"/>
      <c r="BB88" s="243"/>
      <c r="BC88" s="243"/>
      <c r="BD88" s="243"/>
      <c r="BE88" s="244"/>
      <c r="BF88" s="243"/>
      <c r="BG88" s="243"/>
      <c r="BH88" s="243"/>
      <c r="BI88" s="244"/>
      <c r="BJ88" s="243"/>
    </row>
    <row r="89" spans="1:62" ht="15.75" customHeight="1" x14ac:dyDescent="0.2">
      <c r="A89" s="239"/>
      <c r="B89" s="243"/>
      <c r="C89" s="243"/>
      <c r="D89" s="243"/>
      <c r="E89" s="277"/>
      <c r="F89" s="243"/>
      <c r="G89" s="278"/>
      <c r="H89" s="204"/>
      <c r="I89" s="204"/>
      <c r="J89" s="204"/>
      <c r="K89" s="273"/>
      <c r="L89" s="244"/>
      <c r="M89" s="243"/>
      <c r="N89" s="243"/>
      <c r="O89" s="243"/>
      <c r="P89" s="244"/>
      <c r="Q89" s="243"/>
      <c r="R89" s="243"/>
      <c r="S89" s="243"/>
      <c r="T89" s="243"/>
      <c r="U89" s="244"/>
      <c r="V89" s="243"/>
      <c r="W89" s="243"/>
      <c r="X89" s="243"/>
      <c r="Y89" s="244"/>
      <c r="Z89" s="243"/>
      <c r="AA89" s="243"/>
      <c r="AB89" s="243"/>
      <c r="AC89" s="244"/>
      <c r="AD89" s="243"/>
      <c r="AE89" s="243"/>
      <c r="AF89" s="243"/>
      <c r="AG89" s="244"/>
      <c r="AH89" s="243"/>
      <c r="AI89" s="243"/>
      <c r="AJ89" s="243"/>
      <c r="AK89" s="244"/>
      <c r="AL89" s="243"/>
      <c r="AM89" s="243"/>
      <c r="AN89" s="243"/>
      <c r="AO89" s="244"/>
      <c r="AP89" s="243"/>
      <c r="AQ89" s="243"/>
      <c r="AR89" s="243"/>
      <c r="AS89" s="244"/>
      <c r="AT89" s="243"/>
      <c r="AU89" s="243"/>
      <c r="AV89" s="243"/>
      <c r="AW89" s="244"/>
      <c r="AX89" s="243"/>
      <c r="AY89" s="243"/>
      <c r="AZ89" s="243"/>
      <c r="BA89" s="244"/>
      <c r="BB89" s="243"/>
      <c r="BC89" s="243"/>
      <c r="BD89" s="243"/>
      <c r="BE89" s="244"/>
      <c r="BF89" s="243"/>
      <c r="BG89" s="243"/>
      <c r="BH89" s="243"/>
      <c r="BI89" s="244"/>
      <c r="BJ89" s="243"/>
    </row>
    <row r="90" spans="1:62" ht="15.75" customHeight="1" x14ac:dyDescent="0.2">
      <c r="A90" s="239"/>
      <c r="B90" s="479"/>
      <c r="C90" s="280"/>
      <c r="D90" s="243"/>
      <c r="E90" s="243"/>
      <c r="F90" s="243"/>
      <c r="G90" s="243"/>
      <c r="H90" s="243"/>
      <c r="I90" s="243"/>
      <c r="J90" s="243"/>
      <c r="K90" s="243"/>
      <c r="L90" s="244"/>
      <c r="M90" s="243"/>
      <c r="N90" s="243"/>
      <c r="O90" s="243"/>
      <c r="P90" s="244"/>
      <c r="Q90" s="243"/>
      <c r="R90" s="243"/>
      <c r="S90" s="243"/>
      <c r="T90" s="243"/>
      <c r="U90" s="244"/>
      <c r="V90" s="243"/>
      <c r="W90" s="243"/>
      <c r="X90" s="243"/>
      <c r="Y90" s="244"/>
      <c r="Z90" s="243"/>
      <c r="AA90" s="243"/>
      <c r="AB90" s="243"/>
      <c r="AC90" s="244"/>
      <c r="AD90" s="243"/>
      <c r="AE90" s="243"/>
      <c r="AF90" s="243"/>
      <c r="AG90" s="244"/>
      <c r="AH90" s="243"/>
      <c r="AI90" s="243"/>
      <c r="AJ90" s="243"/>
      <c r="AK90" s="244"/>
      <c r="AL90" s="243"/>
      <c r="AM90" s="243"/>
      <c r="AN90" s="243"/>
      <c r="AO90" s="244"/>
      <c r="AP90" s="243"/>
      <c r="AQ90" s="243"/>
      <c r="AR90" s="243"/>
      <c r="AS90" s="244"/>
      <c r="AT90" s="243"/>
      <c r="AU90" s="243"/>
      <c r="AV90" s="243"/>
      <c r="AW90" s="244"/>
      <c r="AX90" s="243"/>
      <c r="AY90" s="243"/>
      <c r="AZ90" s="243"/>
      <c r="BA90" s="244"/>
      <c r="BB90" s="243"/>
      <c r="BC90" s="243"/>
      <c r="BD90" s="243"/>
      <c r="BE90" s="244"/>
      <c r="BF90" s="243"/>
      <c r="BG90" s="243"/>
      <c r="BH90" s="243"/>
      <c r="BI90" s="244"/>
      <c r="BJ90" s="243"/>
    </row>
    <row r="91" spans="1:62" ht="15.75" customHeight="1" x14ac:dyDescent="0.2">
      <c r="A91" s="239"/>
      <c r="B91" s="279"/>
      <c r="C91" s="280"/>
      <c r="D91" s="243"/>
      <c r="E91" s="243"/>
      <c r="F91" s="243"/>
      <c r="G91" s="243"/>
      <c r="H91" s="243"/>
      <c r="I91" s="243"/>
      <c r="J91" s="243"/>
      <c r="K91" s="243"/>
      <c r="L91" s="244"/>
      <c r="M91" s="243"/>
      <c r="N91" s="243"/>
      <c r="O91" s="243"/>
      <c r="P91" s="244"/>
      <c r="Q91" s="243"/>
      <c r="R91" s="243"/>
      <c r="S91" s="243"/>
      <c r="T91" s="243"/>
      <c r="U91" s="244"/>
      <c r="V91" s="243"/>
      <c r="W91" s="243"/>
      <c r="X91" s="243"/>
      <c r="Y91" s="244"/>
      <c r="Z91" s="243"/>
      <c r="AA91" s="243"/>
      <c r="AB91" s="243"/>
      <c r="AC91" s="244"/>
      <c r="AD91" s="243"/>
      <c r="AE91" s="243"/>
      <c r="AF91" s="243"/>
      <c r="AG91" s="244"/>
      <c r="AH91" s="243"/>
      <c r="AI91" s="243"/>
      <c r="AJ91" s="243"/>
      <c r="AK91" s="244"/>
      <c r="AL91" s="243"/>
      <c r="AM91" s="243"/>
      <c r="AN91" s="243"/>
      <c r="AO91" s="244"/>
      <c r="AP91" s="243"/>
      <c r="AQ91" s="243"/>
      <c r="AR91" s="243"/>
      <c r="AS91" s="244"/>
      <c r="AT91" s="243"/>
      <c r="AU91" s="243"/>
      <c r="AV91" s="243"/>
      <c r="AW91" s="244"/>
      <c r="AX91" s="243"/>
      <c r="AY91" s="243"/>
      <c r="AZ91" s="243"/>
      <c r="BA91" s="244"/>
      <c r="BB91" s="243"/>
      <c r="BC91" s="243"/>
      <c r="BD91" s="243"/>
      <c r="BE91" s="244"/>
      <c r="BF91" s="243"/>
      <c r="BG91" s="243"/>
      <c r="BH91" s="243"/>
      <c r="BI91" s="244"/>
      <c r="BJ91" s="243"/>
    </row>
  </sheetData>
  <mergeCells count="32">
    <mergeCell ref="A57:A62"/>
    <mergeCell ref="E2:H2"/>
    <mergeCell ref="I2:L2"/>
    <mergeCell ref="M2:P2"/>
    <mergeCell ref="Q2:U2"/>
    <mergeCell ref="BB2:BE2"/>
    <mergeCell ref="BF2:BI2"/>
    <mergeCell ref="A31:A32"/>
    <mergeCell ref="A47:A48"/>
    <mergeCell ref="A50:A54"/>
    <mergeCell ref="V2:Y2"/>
    <mergeCell ref="Z2:AC2"/>
    <mergeCell ref="AD2:AG2"/>
    <mergeCell ref="AH2:AK2"/>
    <mergeCell ref="AL2:AO2"/>
    <mergeCell ref="AP2:AS2"/>
    <mergeCell ref="AT2:AW2"/>
    <mergeCell ref="AX2:BA2"/>
    <mergeCell ref="BB1:BE1"/>
    <mergeCell ref="BF1:BI1"/>
    <mergeCell ref="E1:H1"/>
    <mergeCell ref="I1:L1"/>
    <mergeCell ref="M1:P1"/>
    <mergeCell ref="Q1:U1"/>
    <mergeCell ref="V1:Y1"/>
    <mergeCell ref="Z1:AC1"/>
    <mergeCell ref="AD1:AG1"/>
    <mergeCell ref="AH1:AK1"/>
    <mergeCell ref="AL1:AO1"/>
    <mergeCell ref="AP1:AS1"/>
    <mergeCell ref="AT1:AW1"/>
    <mergeCell ref="AX1:BA1"/>
  </mergeCells>
  <conditionalFormatting sqref="A38:BJ38 A72:A75 C72:BJ78 B76 A65:BJ70 A80:BJ91 A79:XFD79 B78 A77:A78">
    <cfRule type="cellIs" dxfId="8" priority="9" operator="lessThan">
      <formula>56</formula>
    </cfRule>
  </conditionalFormatting>
  <conditionalFormatting sqref="A38:BJ38 B84:B89">
    <cfRule type="cellIs" dxfId="7" priority="6" operator="lessThan">
      <formula>0</formula>
    </cfRule>
  </conditionalFormatting>
  <conditionalFormatting sqref="A38:BJ38 C72:BJ78 A72:A75 B76 A65:BJ70 A80:BJ91 A79:XFD79 B78 A77:A78">
    <cfRule type="cellIs" dxfId="6" priority="8" operator="greaterThan">
      <formula>70</formula>
    </cfRule>
  </conditionalFormatting>
  <conditionalFormatting sqref="A38:BJ38 C65:BJ70 C72:BJ78 C80:BJ91 B80:B89">
    <cfRule type="cellIs" dxfId="5" priority="7" operator="greaterThan">
      <formula>0</formula>
    </cfRule>
  </conditionalFormatting>
  <conditionalFormatting sqref="A72:A75 C72:BJ78 B76 A65:BJ70 A80:BJ91 A79:XFD79 B78 A77:A78">
    <cfRule type="cellIs" dxfId="4" priority="4" operator="greaterThan">
      <formula>20000</formula>
    </cfRule>
    <cfRule type="cellIs" dxfId="3" priority="5" operator="lessThan">
      <formula>0</formula>
    </cfRule>
  </conditionalFormatting>
  <conditionalFormatting sqref="B70">
    <cfRule type="cellIs" dxfId="1" priority="2" operator="greaterThan">
      <formula>0</formula>
    </cfRule>
  </conditionalFormatting>
  <conditionalFormatting sqref="A79:XFD79">
    <cfRule type="cellIs" dxfId="0" priority="1" operator="greaterThan">
      <formula>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10"/>
  <sheetViews>
    <sheetView tabSelected="1" workbookViewId="0"/>
  </sheetViews>
  <sheetFormatPr baseColWidth="10" defaultColWidth="14.5" defaultRowHeight="15" customHeight="1" x14ac:dyDescent="0.2"/>
  <cols>
    <col min="1" max="1" width="18" customWidth="1"/>
    <col min="2" max="3" width="17.83203125" customWidth="1"/>
    <col min="4" max="4" width="10.83203125" customWidth="1"/>
    <col min="5" max="5" width="16" customWidth="1"/>
    <col min="6" max="7" width="10.83203125" customWidth="1"/>
    <col min="8" max="8" width="10.5" customWidth="1"/>
    <col min="9" max="9" width="14.6640625" customWidth="1"/>
    <col min="10" max="10" width="36.33203125" customWidth="1"/>
    <col min="11" max="11" width="11.6640625" customWidth="1"/>
    <col min="12" max="12" width="10.83203125" customWidth="1"/>
    <col min="13" max="13" width="23.1640625" customWidth="1"/>
    <col min="14" max="14" width="23.33203125" customWidth="1"/>
    <col min="15" max="15" width="10.6640625" customWidth="1"/>
    <col min="16" max="16" width="15.5" customWidth="1"/>
    <col min="17" max="17" width="10.6640625" customWidth="1"/>
    <col min="18" max="18" width="24.5" customWidth="1"/>
    <col min="19" max="19" width="23.33203125" customWidth="1"/>
    <col min="20" max="20" width="13.5" customWidth="1"/>
    <col min="21" max="21" width="23.1640625" customWidth="1"/>
    <col min="22" max="22" width="17.5" customWidth="1"/>
    <col min="23" max="25" width="10.6640625" customWidth="1"/>
  </cols>
  <sheetData>
    <row r="1" spans="1:25" ht="18.75" customHeight="1" x14ac:dyDescent="0.2">
      <c r="A1" s="281"/>
      <c r="B1" s="2"/>
      <c r="C1" s="2"/>
      <c r="D1" s="282" t="s">
        <v>83</v>
      </c>
      <c r="E1" s="282" t="s">
        <v>84</v>
      </c>
      <c r="F1" s="283" t="s">
        <v>85</v>
      </c>
      <c r="G1" s="281" t="s">
        <v>86</v>
      </c>
      <c r="H1" s="284"/>
      <c r="I1" s="285"/>
      <c r="J1" s="285"/>
      <c r="K1" s="2"/>
      <c r="L1" s="2"/>
      <c r="M1" s="2"/>
      <c r="N1" s="2"/>
      <c r="O1" s="2"/>
      <c r="P1" s="3"/>
      <c r="Q1" s="3"/>
      <c r="R1" s="2"/>
      <c r="S1" s="2"/>
      <c r="T1" s="2"/>
      <c r="U1" s="2"/>
      <c r="V1" s="2"/>
      <c r="W1" s="2"/>
      <c r="X1" s="2"/>
      <c r="Y1" s="2"/>
    </row>
    <row r="2" spans="1:25" ht="18.75" customHeight="1" x14ac:dyDescent="0.2">
      <c r="A2" s="281"/>
      <c r="B2" s="3"/>
      <c r="C2" s="3"/>
      <c r="D2" s="286">
        <f>E2*4</f>
        <v>36405.41333333333</v>
      </c>
      <c r="E2" s="286">
        <f>F2*7</f>
        <v>9101.3533333333326</v>
      </c>
      <c r="F2" s="287">
        <f>(F3/0.1/30)</f>
        <v>1300.1933333333332</v>
      </c>
      <c r="G2" s="287">
        <f>(F2*0.33)</f>
        <v>429.06379999999996</v>
      </c>
      <c r="H2" s="2"/>
      <c r="I2" s="288"/>
      <c r="J2" s="3" t="s">
        <v>87</v>
      </c>
      <c r="K2" s="2"/>
      <c r="L2" s="2"/>
      <c r="M2" s="289"/>
      <c r="N2" s="2"/>
      <c r="O2" s="2"/>
      <c r="P2" s="3"/>
      <c r="Q2" s="2"/>
      <c r="R2" s="2"/>
      <c r="S2" s="2"/>
      <c r="T2" s="2"/>
      <c r="U2" s="2"/>
      <c r="V2" s="2"/>
      <c r="W2" s="2"/>
      <c r="X2" s="2"/>
      <c r="Y2" s="2"/>
    </row>
    <row r="3" spans="1:25" ht="18.75" customHeight="1" x14ac:dyDescent="0.2">
      <c r="A3" s="281"/>
      <c r="B3" s="3"/>
      <c r="C3" s="3" t="s">
        <v>88</v>
      </c>
      <c r="D3" s="2"/>
      <c r="E3" s="2"/>
      <c r="F3" s="290">
        <f>SUM(F5:F65)+L10</f>
        <v>3900.58</v>
      </c>
      <c r="G3" s="2"/>
      <c r="H3" s="2"/>
      <c r="I3" s="288"/>
      <c r="J3" s="460" t="s">
        <v>89</v>
      </c>
      <c r="K3" s="461"/>
      <c r="L3" s="462"/>
      <c r="M3" s="2"/>
      <c r="N3" s="2"/>
      <c r="O3" s="2"/>
      <c r="P3" s="3"/>
      <c r="Q3" s="2"/>
      <c r="R3" s="2"/>
      <c r="S3" s="2"/>
      <c r="T3" s="2"/>
      <c r="U3" s="2"/>
      <c r="V3" s="2"/>
      <c r="W3" s="2"/>
      <c r="X3" s="2"/>
      <c r="Y3" s="2"/>
    </row>
    <row r="4" spans="1:25" ht="18.75" customHeight="1" x14ac:dyDescent="0.2">
      <c r="A4" s="281"/>
      <c r="B4" s="281"/>
      <c r="C4" s="281" t="s">
        <v>90</v>
      </c>
      <c r="D4" s="281" t="s">
        <v>91</v>
      </c>
      <c r="E4" s="281" t="s">
        <v>92</v>
      </c>
      <c r="F4" s="281" t="s">
        <v>93</v>
      </c>
      <c r="G4" s="281" t="s">
        <v>94</v>
      </c>
      <c r="H4" s="291" t="s">
        <v>95</v>
      </c>
      <c r="I4" s="288"/>
      <c r="J4" s="3" t="s">
        <v>90</v>
      </c>
      <c r="K4" s="3" t="s">
        <v>96</v>
      </c>
      <c r="L4" s="292" t="s">
        <v>94</v>
      </c>
      <c r="M4" s="2"/>
      <c r="N4" s="293" t="s">
        <v>97</v>
      </c>
      <c r="O4" s="293" t="s">
        <v>98</v>
      </c>
      <c r="P4" s="293" t="s">
        <v>94</v>
      </c>
      <c r="Q4" s="2"/>
      <c r="R4" s="2"/>
      <c r="S4" s="2"/>
      <c r="T4" s="294"/>
      <c r="U4" s="2"/>
      <c r="V4" s="2"/>
      <c r="W4" s="2"/>
      <c r="X4" s="2"/>
      <c r="Y4" s="2"/>
    </row>
    <row r="5" spans="1:25" ht="18.75" customHeight="1" x14ac:dyDescent="0.2">
      <c r="A5" s="463" t="s">
        <v>99</v>
      </c>
      <c r="B5" s="466" t="s">
        <v>100</v>
      </c>
      <c r="C5" s="296" t="s">
        <v>101</v>
      </c>
      <c r="D5" s="297">
        <v>9.3000000000000007</v>
      </c>
      <c r="E5" s="298">
        <v>1</v>
      </c>
      <c r="F5" s="297">
        <f t="shared" ref="F5:F11" si="0">D5*E5</f>
        <v>9.3000000000000007</v>
      </c>
      <c r="G5" s="299" t="s">
        <v>102</v>
      </c>
      <c r="H5" s="300">
        <f>F5/0.1</f>
        <v>93</v>
      </c>
      <c r="I5" s="467">
        <f>SUM(F5:F25)</f>
        <v>478.08000000000004</v>
      </c>
      <c r="J5" s="2" t="s">
        <v>103</v>
      </c>
      <c r="K5" s="301">
        <v>225</v>
      </c>
      <c r="L5" s="2" t="s">
        <v>104</v>
      </c>
      <c r="M5" s="2"/>
      <c r="N5" s="2" t="s">
        <v>105</v>
      </c>
      <c r="O5" s="301">
        <f>F6+F9+F15+F23+O6</f>
        <v>197.72</v>
      </c>
      <c r="P5" s="302" t="s">
        <v>106</v>
      </c>
      <c r="Q5" s="2"/>
      <c r="R5" s="2"/>
      <c r="S5" s="2"/>
      <c r="T5" s="294"/>
      <c r="U5" s="2"/>
      <c r="V5" s="2"/>
      <c r="W5" s="2"/>
      <c r="X5" s="2"/>
      <c r="Y5" s="2"/>
    </row>
    <row r="6" spans="1:25" ht="18.75" customHeight="1" x14ac:dyDescent="0.2">
      <c r="A6" s="464"/>
      <c r="B6" s="464"/>
      <c r="C6" s="303" t="s">
        <v>107</v>
      </c>
      <c r="D6" s="297">
        <v>17</v>
      </c>
      <c r="E6" s="298">
        <v>1</v>
      </c>
      <c r="F6" s="297">
        <f t="shared" si="0"/>
        <v>17</v>
      </c>
      <c r="G6" s="299" t="s">
        <v>108</v>
      </c>
      <c r="H6" s="300"/>
      <c r="I6" s="464"/>
      <c r="J6" s="2" t="s">
        <v>109</v>
      </c>
      <c r="K6" s="301">
        <v>330</v>
      </c>
      <c r="L6" s="2" t="s">
        <v>110</v>
      </c>
      <c r="M6" s="2"/>
      <c r="N6" s="2" t="s">
        <v>111</v>
      </c>
      <c r="O6" s="301">
        <f>F20+F22+F17</f>
        <v>110.72</v>
      </c>
      <c r="P6" s="302" t="s">
        <v>112</v>
      </c>
      <c r="Q6" s="2"/>
      <c r="R6" s="2"/>
      <c r="S6" s="288"/>
      <c r="T6" s="304"/>
      <c r="U6" s="2"/>
      <c r="V6" s="2"/>
      <c r="W6" s="2"/>
      <c r="X6" s="2"/>
      <c r="Y6" s="2"/>
    </row>
    <row r="7" spans="1:25" ht="18.75" customHeight="1" x14ac:dyDescent="0.2">
      <c r="A7" s="464"/>
      <c r="B7" s="464"/>
      <c r="C7" s="303" t="s">
        <v>113</v>
      </c>
      <c r="D7" s="297">
        <v>42</v>
      </c>
      <c r="E7" s="298">
        <v>1</v>
      </c>
      <c r="F7" s="297">
        <f t="shared" si="0"/>
        <v>42</v>
      </c>
      <c r="G7" s="299" t="s">
        <v>114</v>
      </c>
      <c r="H7" s="300"/>
      <c r="I7" s="464"/>
      <c r="J7" s="2" t="s">
        <v>115</v>
      </c>
      <c r="K7" s="301">
        <v>120</v>
      </c>
      <c r="L7" s="2" t="s">
        <v>116</v>
      </c>
      <c r="M7" s="2"/>
      <c r="N7" s="2" t="s">
        <v>117</v>
      </c>
      <c r="O7" s="301">
        <f>F5+F13+F18+F22+F17</f>
        <v>120.02000000000001</v>
      </c>
      <c r="P7" s="302" t="s">
        <v>118</v>
      </c>
      <c r="Q7" s="2"/>
      <c r="R7" s="2"/>
      <c r="S7" s="288"/>
      <c r="T7" s="304"/>
      <c r="U7" s="2"/>
      <c r="V7" s="2"/>
      <c r="W7" s="2"/>
      <c r="X7" s="2"/>
      <c r="Y7" s="2"/>
    </row>
    <row r="8" spans="1:25" ht="18.75" customHeight="1" x14ac:dyDescent="0.2">
      <c r="A8" s="464"/>
      <c r="B8" s="464"/>
      <c r="C8" s="303" t="s">
        <v>119</v>
      </c>
      <c r="D8" s="297">
        <f>155*0.85</f>
        <v>131.75</v>
      </c>
      <c r="E8" s="298">
        <v>1</v>
      </c>
      <c r="F8" s="305">
        <f t="shared" si="0"/>
        <v>131.75</v>
      </c>
      <c r="G8" s="299" t="s">
        <v>120</v>
      </c>
      <c r="H8" s="300"/>
      <c r="I8" s="464"/>
      <c r="J8" s="2" t="s">
        <v>121</v>
      </c>
      <c r="K8" s="306">
        <v>250</v>
      </c>
      <c r="L8" s="307" t="s">
        <v>122</v>
      </c>
      <c r="M8" s="2"/>
      <c r="N8" s="2" t="s">
        <v>123</v>
      </c>
      <c r="O8" s="301">
        <f>F8+F7+F10++F24+F14</f>
        <v>235.15</v>
      </c>
      <c r="P8" s="302" t="s">
        <v>124</v>
      </c>
      <c r="Q8" s="2"/>
      <c r="R8" s="2"/>
      <c r="S8" s="288"/>
      <c r="T8" s="285"/>
      <c r="U8" s="2"/>
      <c r="V8" s="2"/>
      <c r="W8" s="2"/>
      <c r="X8" s="2"/>
      <c r="Y8" s="2"/>
    </row>
    <row r="9" spans="1:25" ht="18.75" customHeight="1" x14ac:dyDescent="0.2">
      <c r="A9" s="464"/>
      <c r="B9" s="464"/>
      <c r="C9" s="296" t="s">
        <v>125</v>
      </c>
      <c r="D9" s="297">
        <v>60</v>
      </c>
      <c r="E9" s="298">
        <v>1</v>
      </c>
      <c r="F9" s="297">
        <f t="shared" si="0"/>
        <v>60</v>
      </c>
      <c r="G9" s="299" t="s">
        <v>108</v>
      </c>
      <c r="H9" s="300"/>
      <c r="I9" s="464"/>
      <c r="J9" s="2" t="s">
        <v>126</v>
      </c>
      <c r="K9" s="306">
        <v>95</v>
      </c>
      <c r="L9" s="307" t="s">
        <v>127</v>
      </c>
      <c r="M9" s="2"/>
      <c r="N9" s="2"/>
      <c r="O9" s="2"/>
      <c r="P9" s="294"/>
      <c r="Q9" s="2"/>
      <c r="R9" s="2"/>
      <c r="S9" s="2"/>
      <c r="T9" s="2"/>
      <c r="U9" s="2"/>
      <c r="V9" s="2"/>
      <c r="W9" s="2"/>
      <c r="X9" s="2"/>
      <c r="Y9" s="2"/>
    </row>
    <row r="10" spans="1:25" ht="18.75" customHeight="1" x14ac:dyDescent="0.2">
      <c r="A10" s="464"/>
      <c r="B10" s="464"/>
      <c r="C10" s="308" t="s">
        <v>128</v>
      </c>
      <c r="D10" s="305">
        <v>80</v>
      </c>
      <c r="E10" s="309">
        <v>0.33</v>
      </c>
      <c r="F10" s="297">
        <f t="shared" si="0"/>
        <v>26.400000000000002</v>
      </c>
      <c r="G10" s="299" t="s">
        <v>129</v>
      </c>
      <c r="H10" s="300"/>
      <c r="I10" s="464"/>
      <c r="J10" s="310"/>
      <c r="K10" s="260">
        <f>SUM(K5:K9)</f>
        <v>1020</v>
      </c>
      <c r="L10" s="251">
        <f>K10/12</f>
        <v>85</v>
      </c>
      <c r="M10" s="2"/>
      <c r="N10" s="2"/>
      <c r="O10" s="311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.75" customHeight="1" x14ac:dyDescent="0.2">
      <c r="A11" s="464"/>
      <c r="B11" s="465"/>
      <c r="C11" s="310" t="s">
        <v>130</v>
      </c>
      <c r="D11" s="305">
        <v>27</v>
      </c>
      <c r="E11" s="309">
        <v>0.33</v>
      </c>
      <c r="F11" s="297">
        <f t="shared" si="0"/>
        <v>8.91</v>
      </c>
      <c r="G11" s="299" t="s">
        <v>129</v>
      </c>
      <c r="H11" s="300"/>
      <c r="I11" s="464"/>
      <c r="J11" s="310"/>
      <c r="K11" s="310"/>
      <c r="L11" s="310"/>
      <c r="M11" s="2"/>
      <c r="N11" s="281"/>
      <c r="O11" s="281"/>
      <c r="P11" s="281"/>
      <c r="Q11" s="2"/>
      <c r="R11" s="2"/>
      <c r="S11" s="3"/>
      <c r="T11" s="292"/>
      <c r="U11" s="292"/>
      <c r="V11" s="312"/>
      <c r="W11" s="312"/>
      <c r="X11" s="312"/>
      <c r="Y11" s="312"/>
    </row>
    <row r="12" spans="1:25" ht="18.75" customHeight="1" x14ac:dyDescent="0.2">
      <c r="A12" s="464"/>
      <c r="B12" s="313"/>
      <c r="C12" s="314"/>
      <c r="D12" s="297"/>
      <c r="E12" s="298"/>
      <c r="F12" s="297"/>
      <c r="G12" s="299"/>
      <c r="H12" s="300"/>
      <c r="I12" s="464"/>
      <c r="J12" s="2"/>
      <c r="K12" s="315"/>
      <c r="L12" s="307"/>
      <c r="M12" s="2"/>
      <c r="N12" s="288"/>
      <c r="O12" s="316"/>
      <c r="P12" s="317"/>
      <c r="Q12" s="2"/>
      <c r="R12" s="3"/>
      <c r="S12" s="288"/>
      <c r="T12" s="288"/>
      <c r="U12" s="288"/>
      <c r="V12" s="310"/>
      <c r="W12" s="310"/>
      <c r="X12" s="310"/>
      <c r="Y12" s="310"/>
    </row>
    <row r="13" spans="1:25" ht="18.75" customHeight="1" x14ac:dyDescent="0.2">
      <c r="A13" s="464"/>
      <c r="B13" s="466" t="s">
        <v>131</v>
      </c>
      <c r="C13" s="303" t="s">
        <v>132</v>
      </c>
      <c r="D13" s="297">
        <v>150</v>
      </c>
      <c r="E13" s="298">
        <v>0</v>
      </c>
      <c r="F13" s="305">
        <f t="shared" ref="F13:F18" si="1">D13*E13</f>
        <v>0</v>
      </c>
      <c r="G13" s="299" t="s">
        <v>133</v>
      </c>
      <c r="H13" s="300">
        <f t="shared" ref="H13:H18" si="2">D13/0.1</f>
        <v>1500</v>
      </c>
      <c r="I13" s="464"/>
      <c r="J13" s="2"/>
      <c r="K13" s="310"/>
      <c r="L13" s="318"/>
      <c r="M13" s="319"/>
      <c r="N13" s="288"/>
      <c r="O13" s="316"/>
      <c r="P13" s="317"/>
      <c r="Q13" s="2"/>
      <c r="R13" s="320"/>
      <c r="S13" s="321"/>
      <c r="T13" s="321"/>
      <c r="U13" s="288"/>
      <c r="V13" s="310"/>
      <c r="W13" s="310"/>
      <c r="X13" s="310"/>
      <c r="Y13" s="310"/>
    </row>
    <row r="14" spans="1:25" ht="18.75" customHeight="1" x14ac:dyDescent="0.2">
      <c r="A14" s="464"/>
      <c r="B14" s="464"/>
      <c r="C14" s="322" t="s">
        <v>134</v>
      </c>
      <c r="D14" s="297">
        <v>29</v>
      </c>
      <c r="E14" s="298">
        <v>1</v>
      </c>
      <c r="F14" s="297">
        <f t="shared" si="1"/>
        <v>29</v>
      </c>
      <c r="G14" s="299" t="s">
        <v>114</v>
      </c>
      <c r="H14" s="300">
        <f t="shared" si="2"/>
        <v>290</v>
      </c>
      <c r="I14" s="464"/>
      <c r="J14" s="2"/>
      <c r="K14" s="306"/>
      <c r="L14" s="307"/>
      <c r="M14" s="319"/>
      <c r="N14" s="288"/>
      <c r="O14" s="316"/>
      <c r="P14" s="317"/>
      <c r="Q14" s="2"/>
      <c r="R14" s="3"/>
      <c r="S14" s="288"/>
      <c r="T14" s="288"/>
      <c r="U14" s="288"/>
      <c r="V14" s="310"/>
      <c r="W14" s="310"/>
      <c r="X14" s="310"/>
      <c r="Y14" s="310"/>
    </row>
    <row r="15" spans="1:25" ht="18.75" customHeight="1" x14ac:dyDescent="0.2">
      <c r="A15" s="464"/>
      <c r="B15" s="464"/>
      <c r="C15" s="308" t="s">
        <v>135</v>
      </c>
      <c r="D15" s="297">
        <v>150</v>
      </c>
      <c r="E15" s="298">
        <v>0</v>
      </c>
      <c r="F15" s="297">
        <f t="shared" si="1"/>
        <v>0</v>
      </c>
      <c r="G15" s="299" t="s">
        <v>136</v>
      </c>
      <c r="H15" s="300">
        <f t="shared" si="2"/>
        <v>1500</v>
      </c>
      <c r="I15" s="464"/>
      <c r="J15" s="2"/>
      <c r="K15" s="306" t="s">
        <v>137</v>
      </c>
      <c r="L15" s="306" t="s">
        <v>138</v>
      </c>
      <c r="M15" s="319"/>
      <c r="N15" s="288"/>
      <c r="O15" s="316"/>
      <c r="P15" s="288"/>
      <c r="Q15" s="2"/>
      <c r="R15" s="3"/>
      <c r="S15" s="288"/>
      <c r="T15" s="288"/>
      <c r="U15" s="288"/>
      <c r="V15" s="310"/>
      <c r="W15" s="310"/>
      <c r="X15" s="310"/>
      <c r="Y15" s="310"/>
    </row>
    <row r="16" spans="1:25" ht="18.75" customHeight="1" x14ac:dyDescent="0.2">
      <c r="A16" s="464"/>
      <c r="B16" s="465"/>
      <c r="C16" s="303" t="s">
        <v>139</v>
      </c>
      <c r="D16" s="297">
        <v>65</v>
      </c>
      <c r="E16" s="323">
        <v>0</v>
      </c>
      <c r="F16" s="297">
        <f t="shared" si="1"/>
        <v>0</v>
      </c>
      <c r="G16" s="299"/>
      <c r="H16" s="300">
        <f t="shared" si="2"/>
        <v>650</v>
      </c>
      <c r="I16" s="464"/>
      <c r="J16" s="324" t="s">
        <v>100</v>
      </c>
      <c r="K16" s="315">
        <f>SUM(F5:F10)</f>
        <v>286.45</v>
      </c>
      <c r="L16" s="315">
        <f t="shared" ref="L16:L18" si="3">K16*12</f>
        <v>3437.3999999999996</v>
      </c>
      <c r="M16" s="319"/>
      <c r="N16" s="288"/>
      <c r="O16" s="316"/>
      <c r="P16" s="288"/>
      <c r="Q16" s="302"/>
      <c r="R16" s="3"/>
      <c r="S16" s="288"/>
      <c r="T16" s="288"/>
      <c r="U16" s="288"/>
      <c r="V16" s="310"/>
      <c r="W16" s="310"/>
      <c r="X16" s="310"/>
      <c r="Y16" s="310"/>
    </row>
    <row r="17" spans="1:25" ht="18.75" customHeight="1" x14ac:dyDescent="0.2">
      <c r="A17" s="464"/>
      <c r="B17" s="313"/>
      <c r="C17" s="296" t="s">
        <v>140</v>
      </c>
      <c r="D17" s="297">
        <v>100</v>
      </c>
      <c r="E17" s="298">
        <v>1</v>
      </c>
      <c r="F17" s="297">
        <f t="shared" si="1"/>
        <v>100</v>
      </c>
      <c r="G17" s="299" t="s">
        <v>141</v>
      </c>
      <c r="H17" s="300">
        <f t="shared" si="2"/>
        <v>1000</v>
      </c>
      <c r="I17" s="464"/>
      <c r="J17" s="324" t="s">
        <v>131</v>
      </c>
      <c r="K17" s="304">
        <f>SUM(F13:F17)</f>
        <v>129</v>
      </c>
      <c r="L17" s="315">
        <f t="shared" si="3"/>
        <v>1548</v>
      </c>
      <c r="M17" s="2"/>
      <c r="N17" s="288"/>
      <c r="O17" s="316"/>
      <c r="P17" s="288"/>
      <c r="Q17" s="259"/>
      <c r="R17" s="3"/>
      <c r="S17" s="288"/>
      <c r="T17" s="288"/>
      <c r="U17" s="288"/>
      <c r="V17" s="288"/>
      <c r="W17" s="288"/>
      <c r="X17" s="288"/>
      <c r="Y17" s="288"/>
    </row>
    <row r="18" spans="1:25" ht="18.75" customHeight="1" x14ac:dyDescent="0.2">
      <c r="A18" s="464"/>
      <c r="B18" s="313"/>
      <c r="C18" s="310" t="s">
        <v>142</v>
      </c>
      <c r="D18" s="297">
        <v>180</v>
      </c>
      <c r="E18" s="298">
        <v>0</v>
      </c>
      <c r="F18" s="297">
        <f t="shared" si="1"/>
        <v>0</v>
      </c>
      <c r="G18" s="299" t="s">
        <v>133</v>
      </c>
      <c r="H18" s="300">
        <f t="shared" si="2"/>
        <v>1800</v>
      </c>
      <c r="I18" s="464"/>
      <c r="J18" s="324" t="s">
        <v>143</v>
      </c>
      <c r="K18" s="304">
        <f>SUM(F20:F25)</f>
        <v>53.72</v>
      </c>
      <c r="L18" s="315">
        <f t="shared" si="3"/>
        <v>644.64</v>
      </c>
      <c r="M18" s="2"/>
      <c r="N18" s="288"/>
      <c r="O18" s="316"/>
      <c r="P18" s="288"/>
      <c r="Q18" s="259"/>
      <c r="R18" s="3"/>
      <c r="S18" s="288"/>
      <c r="T18" s="288"/>
      <c r="U18" s="288"/>
      <c r="V18" s="288"/>
      <c r="W18" s="288"/>
      <c r="X18" s="288"/>
      <c r="Y18" s="288"/>
    </row>
    <row r="19" spans="1:25" ht="18.75" customHeight="1" x14ac:dyDescent="0.2">
      <c r="A19" s="464"/>
      <c r="B19" s="313"/>
      <c r="C19" s="310"/>
      <c r="D19" s="310"/>
      <c r="E19" s="310"/>
      <c r="F19" s="310"/>
      <c r="G19" s="310"/>
      <c r="H19" s="300"/>
      <c r="I19" s="464"/>
      <c r="J19" s="310"/>
      <c r="K19" s="310"/>
      <c r="L19" s="310"/>
      <c r="M19" s="2"/>
      <c r="N19" s="288"/>
      <c r="O19" s="316"/>
      <c r="P19" s="288"/>
      <c r="Q19" s="259"/>
      <c r="R19" s="3"/>
      <c r="S19" s="288"/>
      <c r="T19" s="288"/>
      <c r="U19" s="288"/>
      <c r="V19" s="288"/>
      <c r="W19" s="288"/>
      <c r="X19" s="288"/>
      <c r="Y19" s="288"/>
    </row>
    <row r="20" spans="1:25" ht="18.75" customHeight="1" x14ac:dyDescent="0.2">
      <c r="A20" s="464"/>
      <c r="B20" s="466" t="s">
        <v>143</v>
      </c>
      <c r="C20" s="303" t="s">
        <v>144</v>
      </c>
      <c r="D20" s="297">
        <v>45.5</v>
      </c>
      <c r="E20" s="298">
        <v>0</v>
      </c>
      <c r="F20" s="297">
        <f t="shared" ref="F20:F21" si="4">D20*E20</f>
        <v>0</v>
      </c>
      <c r="G20" s="299" t="s">
        <v>145</v>
      </c>
      <c r="H20" s="300"/>
      <c r="I20" s="464"/>
      <c r="J20" s="324"/>
      <c r="K20" s="304"/>
      <c r="L20" s="315"/>
      <c r="M20" s="289"/>
      <c r="N20" s="288"/>
      <c r="O20" s="316"/>
      <c r="P20" s="288"/>
      <c r="Q20" s="259"/>
      <c r="R20" s="3"/>
      <c r="S20" s="288"/>
      <c r="T20" s="288"/>
      <c r="U20" s="288"/>
      <c r="V20" s="310"/>
      <c r="W20" s="310"/>
      <c r="X20" s="310"/>
      <c r="Y20" s="310"/>
    </row>
    <row r="21" spans="1:25" ht="18.75" customHeight="1" x14ac:dyDescent="0.2">
      <c r="A21" s="464"/>
      <c r="B21" s="464"/>
      <c r="C21" s="308" t="s">
        <v>146</v>
      </c>
      <c r="D21" s="297">
        <v>25</v>
      </c>
      <c r="E21" s="298">
        <v>1</v>
      </c>
      <c r="F21" s="297">
        <f t="shared" si="4"/>
        <v>25</v>
      </c>
      <c r="G21" s="299" t="s">
        <v>147</v>
      </c>
      <c r="H21" s="300"/>
      <c r="I21" s="464"/>
      <c r="J21" s="2"/>
      <c r="K21" s="2"/>
      <c r="L21" s="2"/>
      <c r="M21" s="289"/>
      <c r="N21" s="288"/>
      <c r="O21" s="316"/>
      <c r="P21" s="288"/>
      <c r="Q21" s="2"/>
      <c r="R21" s="3"/>
      <c r="S21" s="288"/>
      <c r="T21" s="288"/>
      <c r="U21" s="288"/>
      <c r="V21" s="310"/>
      <c r="W21" s="310"/>
      <c r="X21" s="310"/>
      <c r="Y21" s="310"/>
    </row>
    <row r="22" spans="1:25" ht="18.75" customHeight="1" x14ac:dyDescent="0.2">
      <c r="A22" s="464"/>
      <c r="B22" s="464"/>
      <c r="C22" s="325" t="s">
        <v>148</v>
      </c>
      <c r="D22" s="297">
        <v>10</v>
      </c>
      <c r="E22" s="298">
        <v>1</v>
      </c>
      <c r="F22" s="297">
        <v>10.72</v>
      </c>
      <c r="G22" s="299" t="s">
        <v>149</v>
      </c>
      <c r="H22" s="300"/>
      <c r="I22" s="464"/>
      <c r="J22" s="2"/>
      <c r="K22" s="2"/>
      <c r="L22" s="2"/>
      <c r="M22" s="2"/>
      <c r="N22" s="288"/>
      <c r="O22" s="316"/>
      <c r="P22" s="288"/>
      <c r="Q22" s="2"/>
      <c r="R22" s="3"/>
      <c r="S22" s="288"/>
      <c r="T22" s="321"/>
      <c r="U22" s="326"/>
      <c r="V22" s="310"/>
      <c r="W22" s="310"/>
      <c r="X22" s="310"/>
      <c r="Y22" s="310"/>
    </row>
    <row r="23" spans="1:25" ht="18.75" customHeight="1" x14ac:dyDescent="0.2">
      <c r="A23" s="464"/>
      <c r="B23" s="464"/>
      <c r="C23" s="310" t="s">
        <v>150</v>
      </c>
      <c r="D23" s="297">
        <v>10</v>
      </c>
      <c r="E23" s="298">
        <v>1</v>
      </c>
      <c r="F23" s="297">
        <f t="shared" ref="F23:F25" si="5">D23*E23</f>
        <v>10</v>
      </c>
      <c r="G23" s="299" t="s">
        <v>151</v>
      </c>
      <c r="H23" s="300"/>
      <c r="I23" s="464"/>
      <c r="J23" s="2"/>
      <c r="K23" s="2"/>
      <c r="L23" s="2"/>
      <c r="M23" s="2"/>
      <c r="N23" s="288"/>
      <c r="O23" s="316"/>
      <c r="P23" s="288"/>
      <c r="Q23" s="2"/>
      <c r="R23" s="3"/>
      <c r="S23" s="288"/>
      <c r="T23" s="321"/>
      <c r="U23" s="326"/>
      <c r="V23" s="310"/>
      <c r="W23" s="310"/>
      <c r="X23" s="310"/>
      <c r="Y23" s="310"/>
    </row>
    <row r="24" spans="1:25" ht="18.75" customHeight="1" x14ac:dyDescent="0.2">
      <c r="A24" s="464"/>
      <c r="B24" s="464"/>
      <c r="C24" s="327" t="s">
        <v>152</v>
      </c>
      <c r="D24" s="305">
        <v>6</v>
      </c>
      <c r="E24" s="328">
        <v>1</v>
      </c>
      <c r="F24" s="305">
        <f t="shared" si="5"/>
        <v>6</v>
      </c>
      <c r="G24" s="329" t="s">
        <v>120</v>
      </c>
      <c r="H24" s="300"/>
      <c r="I24" s="464"/>
      <c r="J24" s="2"/>
      <c r="K24" s="2"/>
      <c r="L24" s="2"/>
      <c r="M24" s="2"/>
      <c r="N24" s="2"/>
      <c r="O24" s="311"/>
      <c r="P24" s="310"/>
      <c r="Q24" s="310"/>
      <c r="R24" s="3"/>
      <c r="S24" s="288"/>
      <c r="T24" s="321"/>
      <c r="U24" s="326"/>
      <c r="V24" s="310"/>
      <c r="W24" s="310"/>
      <c r="X24" s="310"/>
      <c r="Y24" s="310"/>
    </row>
    <row r="25" spans="1:25" ht="18.75" customHeight="1" x14ac:dyDescent="0.2">
      <c r="A25" s="464"/>
      <c r="B25" s="464"/>
      <c r="C25" s="296" t="s">
        <v>153</v>
      </c>
      <c r="D25" s="297">
        <v>2</v>
      </c>
      <c r="E25" s="328">
        <v>1</v>
      </c>
      <c r="F25" s="305">
        <f t="shared" si="5"/>
        <v>2</v>
      </c>
      <c r="G25" s="329" t="s">
        <v>149</v>
      </c>
      <c r="H25" s="300"/>
      <c r="I25" s="464"/>
      <c r="J25" s="330"/>
      <c r="K25" s="331"/>
      <c r="L25" s="330"/>
      <c r="M25" s="2"/>
      <c r="N25" s="332"/>
      <c r="O25" s="311"/>
      <c r="P25" s="310"/>
      <c r="Q25" s="310"/>
      <c r="R25" s="288"/>
      <c r="S25" s="310"/>
      <c r="T25" s="2"/>
      <c r="U25" s="2"/>
      <c r="V25" s="2"/>
      <c r="W25" s="2"/>
      <c r="X25" s="2"/>
      <c r="Y25" s="2"/>
    </row>
    <row r="26" spans="1:25" ht="18.75" customHeight="1" x14ac:dyDescent="0.2">
      <c r="A26" s="465"/>
      <c r="B26" s="465"/>
      <c r="C26" s="310"/>
      <c r="D26" s="297"/>
      <c r="E26" s="298"/>
      <c r="F26" s="297"/>
      <c r="G26" s="299"/>
      <c r="H26" s="300"/>
      <c r="I26" s="465"/>
      <c r="J26" s="333"/>
      <c r="K26" s="289"/>
      <c r="L26" s="2"/>
      <c r="M26" s="2"/>
      <c r="N26" s="332"/>
      <c r="O26" s="311"/>
      <c r="P26" s="310"/>
      <c r="Q26" s="310"/>
      <c r="R26" s="288"/>
      <c r="S26" s="310"/>
      <c r="T26" s="2"/>
      <c r="U26" s="2"/>
      <c r="V26" s="2"/>
      <c r="W26" s="2"/>
      <c r="X26" s="2"/>
      <c r="Y26" s="2"/>
    </row>
    <row r="27" spans="1:25" ht="18.75" customHeight="1" x14ac:dyDescent="0.2">
      <c r="A27" s="334"/>
      <c r="B27" s="335"/>
      <c r="C27" s="336"/>
      <c r="D27" s="337"/>
      <c r="E27" s="338"/>
      <c r="F27" s="337"/>
      <c r="G27" s="339"/>
      <c r="H27" s="340"/>
      <c r="I27" s="341"/>
      <c r="J27" s="342"/>
      <c r="K27" s="342"/>
      <c r="L27" s="342"/>
      <c r="M27" s="342"/>
      <c r="N27" s="343"/>
      <c r="O27" s="344"/>
      <c r="P27" s="345"/>
      <c r="Q27" s="345"/>
      <c r="R27" s="346"/>
      <c r="S27" s="345"/>
      <c r="T27" s="347"/>
      <c r="U27" s="348"/>
      <c r="V27" s="348"/>
      <c r="W27" s="348"/>
      <c r="X27" s="348"/>
      <c r="Y27" s="348"/>
    </row>
    <row r="28" spans="1:25" ht="18.75" customHeight="1" x14ac:dyDescent="0.2">
      <c r="A28" s="468" t="s">
        <v>71</v>
      </c>
      <c r="B28" s="349"/>
      <c r="C28" s="350" t="s">
        <v>154</v>
      </c>
      <c r="D28" s="351">
        <v>388</v>
      </c>
      <c r="E28" s="352">
        <v>1</v>
      </c>
      <c r="F28" s="351">
        <f t="shared" ref="F28:F32" si="6">D28*E28</f>
        <v>388</v>
      </c>
      <c r="G28" s="353" t="s">
        <v>155</v>
      </c>
      <c r="H28" s="354"/>
      <c r="I28" s="471">
        <f>SUM(F28:F31)</f>
        <v>598</v>
      </c>
      <c r="J28" s="350"/>
      <c r="K28" s="350"/>
      <c r="L28" s="350"/>
      <c r="M28" s="350"/>
      <c r="N28" s="355"/>
      <c r="O28" s="356"/>
      <c r="P28" s="357"/>
      <c r="Q28" s="357"/>
      <c r="R28" s="358"/>
      <c r="S28" s="357"/>
      <c r="T28" s="359"/>
      <c r="U28" s="350"/>
      <c r="V28" s="350"/>
      <c r="W28" s="350"/>
      <c r="X28" s="350"/>
      <c r="Y28" s="350"/>
    </row>
    <row r="29" spans="1:25" ht="18.75" customHeight="1" x14ac:dyDescent="0.2">
      <c r="A29" s="464"/>
      <c r="B29" s="2"/>
      <c r="C29" s="2" t="s">
        <v>156</v>
      </c>
      <c r="D29" s="315">
        <v>5</v>
      </c>
      <c r="E29" s="302">
        <v>31</v>
      </c>
      <c r="F29" s="315">
        <f t="shared" si="6"/>
        <v>155</v>
      </c>
      <c r="G29" s="360" t="s">
        <v>155</v>
      </c>
      <c r="H29" s="354"/>
      <c r="I29" s="464"/>
      <c r="J29" s="2"/>
      <c r="K29" s="2"/>
      <c r="L29" s="2"/>
      <c r="M29" s="2"/>
      <c r="N29" s="332"/>
      <c r="O29" s="311"/>
      <c r="P29" s="310"/>
      <c r="Q29" s="310"/>
      <c r="R29" s="288"/>
      <c r="S29" s="310"/>
      <c r="T29" s="5"/>
      <c r="U29" s="361"/>
      <c r="V29" s="2"/>
      <c r="W29" s="2"/>
      <c r="X29" s="2"/>
      <c r="Y29" s="2"/>
    </row>
    <row r="30" spans="1:25" ht="18.75" customHeight="1" x14ac:dyDescent="0.2">
      <c r="A30" s="464"/>
      <c r="B30" s="2"/>
      <c r="C30" s="2" t="s">
        <v>157</v>
      </c>
      <c r="D30" s="315">
        <v>35</v>
      </c>
      <c r="E30" s="362">
        <v>1</v>
      </c>
      <c r="F30" s="315">
        <f t="shared" si="6"/>
        <v>35</v>
      </c>
      <c r="G30" s="360" t="s">
        <v>155</v>
      </c>
      <c r="H30" s="354"/>
      <c r="I30" s="464"/>
      <c r="J30" s="2"/>
      <c r="K30" s="2"/>
      <c r="L30" s="2"/>
      <c r="M30" s="2"/>
      <c r="N30" s="2"/>
      <c r="O30" s="311"/>
      <c r="P30" s="310"/>
      <c r="Q30" s="310"/>
      <c r="R30" s="288"/>
      <c r="S30" s="288"/>
      <c r="T30" s="5"/>
      <c r="U30" s="361"/>
      <c r="V30" s="2"/>
      <c r="W30" s="2"/>
      <c r="X30" s="2"/>
      <c r="Y30" s="2"/>
    </row>
    <row r="31" spans="1:25" ht="18.75" customHeight="1" x14ac:dyDescent="0.2">
      <c r="A31" s="469"/>
      <c r="B31" s="342"/>
      <c r="C31" s="348" t="s">
        <v>158</v>
      </c>
      <c r="D31" s="363">
        <v>4</v>
      </c>
      <c r="E31" s="364">
        <v>5</v>
      </c>
      <c r="F31" s="363">
        <f t="shared" si="6"/>
        <v>20</v>
      </c>
      <c r="G31" s="365" t="s">
        <v>155</v>
      </c>
      <c r="H31" s="366"/>
      <c r="I31" s="469"/>
      <c r="J31" s="348"/>
      <c r="K31" s="348"/>
      <c r="L31" s="348"/>
      <c r="M31" s="348"/>
      <c r="N31" s="348"/>
      <c r="O31" s="367"/>
      <c r="P31" s="2"/>
      <c r="Q31" s="2"/>
      <c r="R31" s="288"/>
      <c r="S31" s="310"/>
      <c r="T31" s="5"/>
      <c r="U31" s="361"/>
      <c r="V31" s="2"/>
      <c r="W31" s="2"/>
      <c r="X31" s="2"/>
      <c r="Y31" s="2"/>
    </row>
    <row r="32" spans="1:25" ht="18.75" customHeight="1" x14ac:dyDescent="0.2">
      <c r="A32" s="368"/>
      <c r="B32" s="349"/>
      <c r="C32" s="330" t="s">
        <v>159</v>
      </c>
      <c r="D32" s="306">
        <v>125</v>
      </c>
      <c r="E32" s="369">
        <v>1</v>
      </c>
      <c r="F32" s="306">
        <f t="shared" si="6"/>
        <v>125</v>
      </c>
      <c r="G32" s="370" t="s">
        <v>108</v>
      </c>
      <c r="H32" s="371"/>
      <c r="I32" s="471">
        <f>SUM(F32:F33)</f>
        <v>125</v>
      </c>
      <c r="J32" s="372"/>
      <c r="K32" s="350"/>
      <c r="L32" s="350"/>
      <c r="M32" s="350"/>
      <c r="N32" s="372"/>
      <c r="O32" s="356"/>
      <c r="P32" s="2"/>
      <c r="Q32" s="2"/>
      <c r="R32" s="288"/>
      <c r="S32" s="310"/>
      <c r="T32" s="5"/>
      <c r="U32" s="361"/>
      <c r="V32" s="2"/>
      <c r="W32" s="2"/>
      <c r="X32" s="2"/>
      <c r="Y32" s="2"/>
    </row>
    <row r="33" spans="1:25" ht="18.75" customHeight="1" x14ac:dyDescent="0.2">
      <c r="A33" s="373"/>
      <c r="B33" s="348"/>
      <c r="C33" s="348"/>
      <c r="D33" s="363"/>
      <c r="E33" s="374"/>
      <c r="F33" s="363"/>
      <c r="G33" s="375"/>
      <c r="H33" s="340"/>
      <c r="I33" s="469"/>
      <c r="J33" s="376"/>
      <c r="K33" s="348"/>
      <c r="L33" s="348"/>
      <c r="M33" s="348"/>
      <c r="N33" s="376"/>
      <c r="O33" s="367"/>
      <c r="P33" s="2"/>
      <c r="Q33" s="2"/>
      <c r="R33" s="288"/>
      <c r="S33" s="288"/>
      <c r="T33" s="5"/>
      <c r="U33" s="361"/>
      <c r="V33" s="2"/>
      <c r="W33" s="2"/>
      <c r="X33" s="2"/>
      <c r="Y33" s="2"/>
    </row>
    <row r="34" spans="1:25" ht="18.75" customHeight="1" x14ac:dyDescent="0.2">
      <c r="A34" s="368" t="s">
        <v>160</v>
      </c>
      <c r="B34" s="350"/>
      <c r="C34" s="350" t="s">
        <v>161</v>
      </c>
      <c r="D34" s="377">
        <v>729</v>
      </c>
      <c r="E34" s="378">
        <v>1</v>
      </c>
      <c r="F34" s="377">
        <f t="shared" ref="F34:F36" si="7">D34*E34</f>
        <v>729</v>
      </c>
      <c r="G34" s="379" t="s">
        <v>162</v>
      </c>
      <c r="H34" s="380"/>
      <c r="I34" s="471">
        <f>SUM(F34:F35)</f>
        <v>1458</v>
      </c>
      <c r="J34" s="350"/>
      <c r="K34" s="350"/>
      <c r="L34" s="350"/>
      <c r="M34" s="350"/>
      <c r="N34" s="350"/>
      <c r="O34" s="356"/>
      <c r="P34" s="2"/>
      <c r="Q34" s="2"/>
      <c r="R34" s="326"/>
      <c r="S34" s="310"/>
      <c r="T34" s="381"/>
      <c r="U34" s="382"/>
      <c r="V34" s="2"/>
      <c r="W34" s="2"/>
      <c r="X34" s="2"/>
      <c r="Y34" s="2"/>
    </row>
    <row r="35" spans="1:25" ht="18.75" customHeight="1" x14ac:dyDescent="0.2">
      <c r="A35" s="295"/>
      <c r="B35" s="330"/>
      <c r="C35" s="330" t="s">
        <v>163</v>
      </c>
      <c r="D35" s="306">
        <v>729</v>
      </c>
      <c r="E35" s="369">
        <v>1</v>
      </c>
      <c r="F35" s="306">
        <f t="shared" si="7"/>
        <v>729</v>
      </c>
      <c r="G35" s="370" t="s">
        <v>129</v>
      </c>
      <c r="H35" s="380"/>
      <c r="I35" s="465"/>
      <c r="J35" s="383"/>
      <c r="K35" s="384"/>
      <c r="L35" s="330"/>
      <c r="M35" s="330"/>
      <c r="N35" s="330"/>
      <c r="O35" s="385"/>
      <c r="P35" s="330"/>
      <c r="Q35" s="330"/>
      <c r="R35" s="386"/>
      <c r="S35" s="387"/>
      <c r="T35" s="388"/>
      <c r="U35" s="389"/>
      <c r="V35" s="330"/>
      <c r="W35" s="330"/>
      <c r="X35" s="330"/>
      <c r="Y35" s="330"/>
    </row>
    <row r="36" spans="1:25" ht="18.75" customHeight="1" x14ac:dyDescent="0.2">
      <c r="A36" s="390"/>
      <c r="B36" s="391"/>
      <c r="C36" s="391" t="s">
        <v>164</v>
      </c>
      <c r="D36" s="392">
        <f>D41</f>
        <v>1156.5</v>
      </c>
      <c r="E36" s="393">
        <v>1</v>
      </c>
      <c r="F36" s="392">
        <f t="shared" si="7"/>
        <v>1156.5</v>
      </c>
      <c r="G36" s="394" t="s">
        <v>129</v>
      </c>
      <c r="H36" s="395"/>
      <c r="I36" s="396"/>
      <c r="J36" s="397"/>
      <c r="K36" s="397"/>
      <c r="L36" s="391"/>
      <c r="M36" s="391"/>
      <c r="N36" s="397"/>
      <c r="O36" s="391"/>
      <c r="P36" s="391"/>
      <c r="Q36" s="391"/>
      <c r="R36" s="391"/>
      <c r="S36" s="391"/>
      <c r="T36" s="398"/>
      <c r="U36" s="399"/>
      <c r="V36" s="391"/>
      <c r="W36" s="391"/>
      <c r="X36" s="391"/>
      <c r="Y36" s="391"/>
    </row>
    <row r="37" spans="1:25" ht="18.75" customHeight="1" x14ac:dyDescent="0.2">
      <c r="A37" s="281"/>
      <c r="B37" s="2"/>
      <c r="C37" s="2"/>
      <c r="D37" s="306"/>
      <c r="E37" s="369"/>
      <c r="F37" s="306"/>
      <c r="G37" s="370"/>
      <c r="H37" s="331"/>
      <c r="I37" s="288"/>
      <c r="J37" s="259"/>
      <c r="K37" s="259"/>
      <c r="L37" s="2"/>
      <c r="M37" s="2"/>
      <c r="N37" s="259"/>
      <c r="O37" s="2"/>
      <c r="P37" s="2"/>
      <c r="Q37" s="2"/>
      <c r="R37" s="2"/>
      <c r="S37" s="2"/>
      <c r="T37" s="289"/>
      <c r="U37" s="361"/>
      <c r="V37" s="2"/>
      <c r="W37" s="2"/>
      <c r="X37" s="2"/>
      <c r="Y37" s="2"/>
    </row>
    <row r="38" spans="1:25" ht="18.75" customHeight="1" x14ac:dyDescent="0.2">
      <c r="A38" s="281"/>
      <c r="B38" s="2"/>
      <c r="C38" s="2"/>
      <c r="D38" s="306"/>
      <c r="E38" s="369"/>
      <c r="F38" s="306"/>
      <c r="G38" s="370"/>
      <c r="H38" s="331"/>
      <c r="I38" s="288"/>
      <c r="J38" s="259"/>
      <c r="K38" s="400"/>
      <c r="L38" s="401"/>
      <c r="M38" s="2"/>
      <c r="N38" s="25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.75" customHeight="1" x14ac:dyDescent="0.2">
      <c r="A39" s="281"/>
      <c r="B39" s="2"/>
      <c r="C39" s="2"/>
      <c r="D39" s="306"/>
      <c r="E39" s="369"/>
      <c r="F39" s="306"/>
      <c r="G39" s="370"/>
      <c r="H39" s="331"/>
      <c r="I39" s="288"/>
      <c r="J39" s="259"/>
      <c r="K39" s="361"/>
      <c r="L39" s="2"/>
      <c r="M39" s="2"/>
      <c r="N39" s="259"/>
      <c r="O39" s="2"/>
      <c r="P39" s="402"/>
      <c r="Q39" s="403"/>
      <c r="R39" s="2"/>
      <c r="S39" s="2"/>
      <c r="T39" s="2"/>
      <c r="U39" s="2"/>
      <c r="V39" s="2"/>
      <c r="W39" s="2"/>
      <c r="X39" s="2"/>
      <c r="Y39" s="2"/>
    </row>
    <row r="40" spans="1:25" ht="18.75" customHeight="1" x14ac:dyDescent="0.2">
      <c r="A40" s="281"/>
      <c r="B40" s="2"/>
      <c r="C40" s="2"/>
      <c r="D40" s="306"/>
      <c r="E40" s="369"/>
      <c r="F40" s="306"/>
      <c r="G40" s="370"/>
      <c r="H40" s="331"/>
      <c r="I40" s="288"/>
      <c r="J40" s="259"/>
      <c r="K40" s="361"/>
      <c r="L40" s="2"/>
      <c r="M40" s="259"/>
      <c r="N40" s="259"/>
      <c r="O40" s="2"/>
      <c r="P40" s="402"/>
      <c r="Q40" s="403"/>
      <c r="R40" s="2"/>
      <c r="S40" s="2"/>
      <c r="T40" s="2"/>
      <c r="U40" s="2"/>
      <c r="V40" s="2"/>
      <c r="W40" s="2"/>
      <c r="X40" s="2"/>
      <c r="Y40" s="2"/>
    </row>
    <row r="41" spans="1:25" ht="18.75" customHeight="1" x14ac:dyDescent="0.2">
      <c r="A41" s="281"/>
      <c r="B41" s="330"/>
      <c r="C41" s="330"/>
      <c r="D41" s="404">
        <f>SUM(D42:D89)</f>
        <v>1156.5</v>
      </c>
      <c r="E41" s="369"/>
      <c r="F41" s="306"/>
      <c r="G41" s="370"/>
      <c r="H41" s="330"/>
      <c r="I41" s="288"/>
      <c r="J41" s="259"/>
      <c r="K41" s="361"/>
      <c r="L41" s="2"/>
      <c r="M41" s="259"/>
      <c r="N41" s="259"/>
      <c r="O41" s="2"/>
      <c r="P41" s="472"/>
      <c r="Q41" s="403"/>
      <c r="R41" s="2"/>
      <c r="S41" s="2"/>
      <c r="T41" s="2"/>
      <c r="U41" s="2"/>
      <c r="V41" s="2"/>
      <c r="W41" s="2"/>
      <c r="X41" s="2"/>
      <c r="Y41" s="2"/>
    </row>
    <row r="42" spans="1:25" ht="18.75" customHeight="1" x14ac:dyDescent="0.2">
      <c r="A42" s="281"/>
      <c r="B42" s="470" t="s">
        <v>165</v>
      </c>
      <c r="C42" s="405" t="s">
        <v>166</v>
      </c>
      <c r="D42" s="392">
        <v>15</v>
      </c>
      <c r="E42" s="393">
        <v>0</v>
      </c>
      <c r="F42" s="392">
        <f t="shared" ref="F42:F48" si="8">D42*E42</f>
        <v>0</v>
      </c>
      <c r="G42" s="394" t="s">
        <v>108</v>
      </c>
      <c r="H42" s="330"/>
      <c r="I42" s="288"/>
      <c r="J42" s="259"/>
      <c r="K42" s="361"/>
      <c r="L42" s="2"/>
      <c r="M42" s="2"/>
      <c r="N42" s="259"/>
      <c r="O42" s="2"/>
      <c r="P42" s="464"/>
      <c r="Q42" s="403"/>
      <c r="R42" s="2"/>
      <c r="S42" s="2"/>
      <c r="T42" s="2"/>
      <c r="U42" s="2"/>
      <c r="V42" s="2"/>
      <c r="W42" s="2"/>
      <c r="X42" s="2"/>
      <c r="Y42" s="2"/>
    </row>
    <row r="43" spans="1:25" ht="18.75" customHeight="1" x14ac:dyDescent="0.2">
      <c r="A43" s="281" t="s">
        <v>167</v>
      </c>
      <c r="B43" s="464"/>
      <c r="C43" s="303" t="s">
        <v>168</v>
      </c>
      <c r="D43" s="306">
        <v>20</v>
      </c>
      <c r="E43" s="369">
        <v>0</v>
      </c>
      <c r="F43" s="306">
        <f t="shared" si="8"/>
        <v>0</v>
      </c>
      <c r="G43" s="370" t="s">
        <v>108</v>
      </c>
      <c r="H43" s="330"/>
      <c r="I43" s="288"/>
      <c r="J43" s="259"/>
      <c r="K43" s="311"/>
      <c r="L43" s="311"/>
      <c r="M43" s="302"/>
      <c r="N43" s="259"/>
      <c r="O43" s="2"/>
      <c r="P43" s="465"/>
      <c r="Q43" s="403"/>
      <c r="R43" s="2"/>
      <c r="S43" s="2"/>
      <c r="T43" s="2"/>
      <c r="U43" s="2"/>
      <c r="V43" s="2"/>
      <c r="W43" s="2"/>
      <c r="X43" s="2"/>
      <c r="Y43" s="2"/>
    </row>
    <row r="44" spans="1:25" ht="18.75" customHeight="1" x14ac:dyDescent="0.2">
      <c r="A44" s="281"/>
      <c r="B44" s="464"/>
      <c r="C44" s="303" t="s">
        <v>169</v>
      </c>
      <c r="D44" s="306">
        <v>99</v>
      </c>
      <c r="E44" s="369">
        <v>0</v>
      </c>
      <c r="F44" s="306">
        <f t="shared" si="8"/>
        <v>0</v>
      </c>
      <c r="G44" s="370" t="s">
        <v>108</v>
      </c>
      <c r="H44" s="330"/>
      <c r="I44" s="288"/>
      <c r="J44" s="259"/>
      <c r="K44" s="311"/>
      <c r="L44" s="311"/>
      <c r="M44" s="302"/>
      <c r="N44" s="259"/>
      <c r="O44" s="2"/>
      <c r="P44" s="406"/>
      <c r="Q44" s="403"/>
      <c r="R44" s="2"/>
      <c r="S44" s="2"/>
      <c r="T44" s="2"/>
      <c r="U44" s="2"/>
      <c r="V44" s="2"/>
      <c r="W44" s="2"/>
      <c r="X44" s="2"/>
      <c r="Y44" s="2"/>
    </row>
    <row r="45" spans="1:25" ht="18.75" customHeight="1" x14ac:dyDescent="0.2">
      <c r="A45" s="281"/>
      <c r="B45" s="464"/>
      <c r="C45" s="303" t="s">
        <v>170</v>
      </c>
      <c r="D45" s="306">
        <v>50</v>
      </c>
      <c r="E45" s="369">
        <v>0</v>
      </c>
      <c r="F45" s="306">
        <f t="shared" si="8"/>
        <v>0</v>
      </c>
      <c r="G45" s="370" t="s">
        <v>108</v>
      </c>
      <c r="H45" s="330"/>
      <c r="I45" s="288"/>
      <c r="J45" s="407"/>
      <c r="K45" s="311"/>
      <c r="L45" s="311"/>
      <c r="M45" s="473"/>
      <c r="N45" s="259"/>
      <c r="O45" s="2"/>
      <c r="P45" s="403"/>
      <c r="Q45" s="403"/>
      <c r="R45" s="2"/>
      <c r="S45" s="2"/>
      <c r="T45" s="2"/>
      <c r="U45" s="2"/>
      <c r="V45" s="2"/>
      <c r="W45" s="2"/>
      <c r="X45" s="2"/>
      <c r="Y45" s="2"/>
    </row>
    <row r="46" spans="1:25" ht="18.75" customHeight="1" x14ac:dyDescent="0.2">
      <c r="A46" s="281"/>
      <c r="B46" s="464"/>
      <c r="C46" s="308" t="s">
        <v>171</v>
      </c>
      <c r="D46" s="306">
        <v>250</v>
      </c>
      <c r="E46" s="369">
        <v>0</v>
      </c>
      <c r="F46" s="306">
        <f t="shared" si="8"/>
        <v>0</v>
      </c>
      <c r="G46" s="370" t="s">
        <v>108</v>
      </c>
      <c r="H46" s="330"/>
      <c r="I46" s="288"/>
      <c r="J46" s="259"/>
      <c r="K46" s="311"/>
      <c r="L46" s="311"/>
      <c r="M46" s="465"/>
      <c r="N46" s="259"/>
      <c r="O46" s="2"/>
      <c r="P46" s="474"/>
      <c r="Q46" s="403"/>
      <c r="R46" s="2"/>
      <c r="S46" s="2"/>
      <c r="T46" s="2"/>
      <c r="U46" s="2"/>
      <c r="V46" s="2"/>
      <c r="W46" s="2"/>
      <c r="X46" s="2"/>
      <c r="Y46" s="2"/>
    </row>
    <row r="47" spans="1:25" ht="18.75" customHeight="1" x14ac:dyDescent="0.2">
      <c r="A47" s="281"/>
      <c r="B47" s="464"/>
      <c r="C47" s="303" t="s">
        <v>139</v>
      </c>
      <c r="D47" s="306">
        <v>60</v>
      </c>
      <c r="E47" s="369">
        <v>0</v>
      </c>
      <c r="F47" s="306">
        <f t="shared" si="8"/>
        <v>0</v>
      </c>
      <c r="G47" s="370" t="s">
        <v>108</v>
      </c>
      <c r="H47" s="330"/>
      <c r="I47" s="288"/>
      <c r="J47" s="259"/>
      <c r="K47" s="408"/>
      <c r="L47" s="408"/>
      <c r="M47" s="2"/>
      <c r="N47" s="259"/>
      <c r="O47" s="259"/>
      <c r="P47" s="464"/>
      <c r="Q47" s="403"/>
      <c r="R47" s="2"/>
      <c r="S47" s="2"/>
      <c r="T47" s="2"/>
      <c r="U47" s="2"/>
      <c r="V47" s="2"/>
      <c r="W47" s="2"/>
      <c r="X47" s="2"/>
      <c r="Y47" s="2"/>
    </row>
    <row r="48" spans="1:25" ht="18.75" customHeight="1" x14ac:dyDescent="0.2">
      <c r="A48" s="281"/>
      <c r="B48" s="464"/>
      <c r="C48" s="296" t="s">
        <v>172</v>
      </c>
      <c r="D48" s="306">
        <v>100</v>
      </c>
      <c r="E48" s="369">
        <v>0</v>
      </c>
      <c r="F48" s="306">
        <f t="shared" si="8"/>
        <v>0</v>
      </c>
      <c r="G48" s="370" t="s">
        <v>108</v>
      </c>
      <c r="H48" s="330"/>
      <c r="I48" s="288"/>
      <c r="J48" s="259"/>
      <c r="K48" s="408"/>
      <c r="L48" s="408"/>
      <c r="M48" s="2"/>
      <c r="N48" s="259"/>
      <c r="O48" s="2"/>
      <c r="P48" s="465"/>
      <c r="Q48" s="403"/>
      <c r="R48" s="2"/>
      <c r="S48" s="2"/>
      <c r="T48" s="2"/>
      <c r="U48" s="2"/>
      <c r="V48" s="2"/>
      <c r="W48" s="2"/>
      <c r="X48" s="2"/>
      <c r="Y48" s="2"/>
    </row>
    <row r="49" spans="1:25" ht="18.75" customHeight="1" x14ac:dyDescent="0.2">
      <c r="A49" s="281"/>
      <c r="B49" s="464"/>
      <c r="C49" s="409" t="s">
        <v>173</v>
      </c>
      <c r="D49" s="310"/>
      <c r="E49" s="310"/>
      <c r="F49" s="310"/>
      <c r="G49" s="310"/>
      <c r="H49" s="330"/>
      <c r="I49" s="410"/>
      <c r="J49" s="259"/>
      <c r="K49" s="259"/>
      <c r="L49" s="411"/>
      <c r="M49" s="2"/>
      <c r="N49" s="259"/>
      <c r="O49" s="2"/>
      <c r="P49" s="403"/>
      <c r="Q49" s="403"/>
      <c r="R49" s="2"/>
      <c r="S49" s="2"/>
      <c r="T49" s="2"/>
      <c r="U49" s="2"/>
      <c r="V49" s="2"/>
      <c r="W49" s="2"/>
      <c r="X49" s="2"/>
      <c r="Y49" s="2"/>
    </row>
    <row r="50" spans="1:25" ht="18.75" customHeight="1" x14ac:dyDescent="0.2">
      <c r="A50" s="281"/>
      <c r="B50" s="465"/>
      <c r="C50" s="310"/>
      <c r="D50" s="387"/>
      <c r="E50" s="387"/>
      <c r="F50" s="387"/>
      <c r="G50" s="387"/>
      <c r="H50" s="2"/>
      <c r="I50" s="410"/>
      <c r="J50" s="412"/>
      <c r="K50" s="25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.75" customHeight="1" x14ac:dyDescent="0.2">
      <c r="A51" s="281"/>
      <c r="B51" s="470" t="s">
        <v>174</v>
      </c>
      <c r="C51" s="413" t="s">
        <v>146</v>
      </c>
      <c r="D51" s="414">
        <f>55-25</f>
        <v>30</v>
      </c>
      <c r="E51" s="415">
        <v>0</v>
      </c>
      <c r="F51" s="416">
        <f t="shared" ref="F51:F53" si="9">D51*E51</f>
        <v>0</v>
      </c>
      <c r="G51" s="417" t="s">
        <v>108</v>
      </c>
      <c r="H51" s="2"/>
      <c r="I51" s="410"/>
      <c r="J51" s="412"/>
      <c r="K51" s="25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.75" customHeight="1" x14ac:dyDescent="0.2">
      <c r="A52" s="281"/>
      <c r="B52" s="464"/>
      <c r="C52" s="322" t="s">
        <v>175</v>
      </c>
      <c r="D52" s="297">
        <f>90/12</f>
        <v>7.5</v>
      </c>
      <c r="E52" s="362">
        <v>0</v>
      </c>
      <c r="F52" s="315">
        <f t="shared" si="9"/>
        <v>0</v>
      </c>
      <c r="G52" s="301" t="s">
        <v>108</v>
      </c>
      <c r="H52" s="2"/>
      <c r="I52" s="410"/>
      <c r="J52" s="412"/>
      <c r="K52" s="25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.75" customHeight="1" x14ac:dyDescent="0.2">
      <c r="A53" s="281"/>
      <c r="B53" s="464"/>
      <c r="C53" s="308" t="s">
        <v>176</v>
      </c>
      <c r="D53" s="315">
        <v>250</v>
      </c>
      <c r="E53" s="362">
        <v>0</v>
      </c>
      <c r="F53" s="315">
        <f t="shared" si="9"/>
        <v>0</v>
      </c>
      <c r="G53" s="301" t="s">
        <v>108</v>
      </c>
      <c r="H53" s="2"/>
      <c r="I53" s="410"/>
      <c r="J53" s="412"/>
      <c r="K53" s="25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.75" customHeight="1" x14ac:dyDescent="0.2">
      <c r="A54" s="281"/>
      <c r="B54" s="464"/>
      <c r="C54" s="310"/>
      <c r="D54" s="310"/>
      <c r="E54" s="310"/>
      <c r="F54" s="310"/>
      <c r="G54" s="310"/>
      <c r="H54" s="310"/>
      <c r="I54" s="310"/>
      <c r="J54" s="412"/>
      <c r="K54" s="25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.75" customHeight="1" x14ac:dyDescent="0.2">
      <c r="A55" s="281"/>
      <c r="B55" s="464"/>
      <c r="C55" s="310"/>
      <c r="D55" s="310"/>
      <c r="E55" s="310"/>
      <c r="F55" s="310"/>
      <c r="G55" s="310"/>
      <c r="H55" s="310"/>
      <c r="I55" s="410"/>
      <c r="J55" s="412"/>
      <c r="K55" s="25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75" customHeight="1" x14ac:dyDescent="0.2">
      <c r="A56" s="281"/>
      <c r="B56" s="464"/>
      <c r="C56" s="310"/>
      <c r="D56" s="310"/>
      <c r="E56" s="310"/>
      <c r="F56" s="310"/>
      <c r="G56" s="310"/>
      <c r="H56" s="310"/>
      <c r="I56" s="410"/>
      <c r="J56" s="259"/>
      <c r="K56" s="25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.75" customHeight="1" x14ac:dyDescent="0.2">
      <c r="A57" s="281"/>
      <c r="B57" s="465"/>
      <c r="C57" s="387"/>
      <c r="D57" s="387"/>
      <c r="E57" s="387"/>
      <c r="F57" s="387"/>
      <c r="G57" s="387"/>
      <c r="H57" s="310"/>
      <c r="I57" s="410"/>
      <c r="J57" s="259"/>
      <c r="K57" s="25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.75" customHeight="1" x14ac:dyDescent="0.2">
      <c r="A58" s="281"/>
      <c r="B58" s="470" t="s">
        <v>177</v>
      </c>
      <c r="C58" s="418" t="s">
        <v>178</v>
      </c>
      <c r="D58" s="414">
        <f>105-45</f>
        <v>60</v>
      </c>
      <c r="E58" s="415">
        <v>0</v>
      </c>
      <c r="F58" s="416">
        <f t="shared" ref="F58:F65" si="10">D58*E58</f>
        <v>0</v>
      </c>
      <c r="G58" s="417" t="s">
        <v>108</v>
      </c>
      <c r="H58" s="2"/>
      <c r="I58" s="288"/>
      <c r="J58" s="412"/>
      <c r="K58" s="25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.75" customHeight="1" x14ac:dyDescent="0.2">
      <c r="A59" s="281"/>
      <c r="B59" s="464"/>
      <c r="C59" s="409" t="s">
        <v>179</v>
      </c>
      <c r="D59" s="315">
        <v>18</v>
      </c>
      <c r="E59" s="362">
        <v>0</v>
      </c>
      <c r="F59" s="315">
        <f t="shared" si="10"/>
        <v>0</v>
      </c>
      <c r="G59" s="301" t="s">
        <v>108</v>
      </c>
      <c r="H59" s="2"/>
      <c r="I59" s="28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.75" customHeight="1" x14ac:dyDescent="0.2">
      <c r="A60" s="281"/>
      <c r="B60" s="464"/>
      <c r="C60" s="419" t="s">
        <v>180</v>
      </c>
      <c r="D60" s="315">
        <v>89</v>
      </c>
      <c r="E60" s="362">
        <v>0</v>
      </c>
      <c r="F60" s="315">
        <f t="shared" si="10"/>
        <v>0</v>
      </c>
      <c r="G60" s="301" t="s">
        <v>108</v>
      </c>
      <c r="H60" s="2"/>
      <c r="I60" s="28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.75" customHeight="1" x14ac:dyDescent="0.2">
      <c r="A61" s="281"/>
      <c r="B61" s="464"/>
      <c r="C61" s="420" t="s">
        <v>181</v>
      </c>
      <c r="D61" s="315">
        <v>7</v>
      </c>
      <c r="E61" s="362">
        <v>0</v>
      </c>
      <c r="F61" s="315">
        <f t="shared" si="10"/>
        <v>0</v>
      </c>
      <c r="G61" s="301" t="s">
        <v>108</v>
      </c>
      <c r="H61" s="2"/>
      <c r="I61" s="28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.75" customHeight="1" x14ac:dyDescent="0.2">
      <c r="A62" s="281"/>
      <c r="B62" s="464"/>
      <c r="C62" s="303" t="s">
        <v>182</v>
      </c>
      <c r="D62" s="315">
        <v>8</v>
      </c>
      <c r="E62" s="362">
        <v>0</v>
      </c>
      <c r="F62" s="315">
        <f t="shared" si="10"/>
        <v>0</v>
      </c>
      <c r="G62" s="301" t="s">
        <v>108</v>
      </c>
      <c r="H62" s="2"/>
      <c r="I62" s="28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.75" customHeight="1" x14ac:dyDescent="0.2">
      <c r="A63" s="281"/>
      <c r="B63" s="464"/>
      <c r="C63" s="303" t="s">
        <v>183</v>
      </c>
      <c r="D63" s="315">
        <v>27</v>
      </c>
      <c r="E63" s="362">
        <v>0</v>
      </c>
      <c r="F63" s="315">
        <f t="shared" si="10"/>
        <v>0</v>
      </c>
      <c r="G63" s="301" t="s">
        <v>108</v>
      </c>
      <c r="H63" s="2"/>
      <c r="I63" s="288"/>
      <c r="J63" s="421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.75" customHeight="1" x14ac:dyDescent="0.2">
      <c r="A64" s="281"/>
      <c r="B64" s="465"/>
      <c r="C64" s="303" t="s">
        <v>184</v>
      </c>
      <c r="D64" s="315">
        <v>11</v>
      </c>
      <c r="E64" s="362">
        <v>0</v>
      </c>
      <c r="F64" s="315">
        <f t="shared" si="10"/>
        <v>0</v>
      </c>
      <c r="G64" s="301" t="s">
        <v>108</v>
      </c>
      <c r="H64" s="2"/>
      <c r="I64" s="288"/>
      <c r="J64" s="422"/>
      <c r="K64" s="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.75" customHeight="1" x14ac:dyDescent="0.2">
      <c r="A65" s="281"/>
      <c r="B65" s="2"/>
      <c r="C65" s="423" t="s">
        <v>185</v>
      </c>
      <c r="D65" s="297">
        <f>49+6</f>
        <v>55</v>
      </c>
      <c r="E65" s="362">
        <v>0</v>
      </c>
      <c r="F65" s="315">
        <f t="shared" si="10"/>
        <v>0</v>
      </c>
      <c r="G65" s="301" t="s">
        <v>108</v>
      </c>
      <c r="H65" s="2"/>
      <c r="I65" s="28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.75" customHeight="1" x14ac:dyDescent="0.2">
      <c r="A66" s="281"/>
      <c r="B66" s="2"/>
      <c r="C66" s="2"/>
      <c r="D66" s="304"/>
      <c r="E66" s="304"/>
      <c r="F66" s="304"/>
      <c r="G66" s="2"/>
      <c r="H66" s="2"/>
      <c r="I66" s="28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.75" customHeight="1" x14ac:dyDescent="0.2">
      <c r="A67" s="281"/>
      <c r="B67" s="2"/>
      <c r="C67" s="310"/>
      <c r="D67" s="310"/>
      <c r="E67" s="310"/>
      <c r="F67" s="310"/>
      <c r="G67" s="310"/>
      <c r="H67" s="310"/>
      <c r="I67" s="31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.75" customHeight="1" x14ac:dyDescent="0.2">
      <c r="A68" s="281"/>
      <c r="B68" s="2"/>
      <c r="C68" s="310"/>
      <c r="D68" s="310"/>
      <c r="E68" s="310"/>
      <c r="F68" s="310"/>
      <c r="G68" s="310"/>
      <c r="H68" s="310"/>
      <c r="I68" s="3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.75" customHeight="1" x14ac:dyDescent="0.2">
      <c r="A69" s="281"/>
      <c r="B69" s="2"/>
      <c r="C69" s="310"/>
      <c r="D69" s="310"/>
      <c r="E69" s="310"/>
      <c r="F69" s="310"/>
      <c r="G69" s="310"/>
      <c r="H69" s="310"/>
      <c r="I69" s="31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.75" customHeight="1" x14ac:dyDescent="0.2">
      <c r="A70" s="281"/>
      <c r="B70" s="2"/>
      <c r="C70" s="310"/>
      <c r="D70" s="310"/>
      <c r="E70" s="310"/>
      <c r="F70" s="310"/>
      <c r="G70" s="310"/>
      <c r="H70" s="310"/>
      <c r="I70" s="31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.75" customHeight="1" x14ac:dyDescent="0.2">
      <c r="A71" s="281"/>
      <c r="B71" s="2"/>
      <c r="C71" s="310"/>
      <c r="D71" s="310"/>
      <c r="E71" s="310"/>
      <c r="F71" s="310"/>
      <c r="G71" s="310"/>
      <c r="H71" s="310"/>
      <c r="I71" s="31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.75" customHeight="1" x14ac:dyDescent="0.2">
      <c r="A72" s="281"/>
      <c r="B72" s="2"/>
      <c r="C72" s="310"/>
      <c r="D72" s="310"/>
      <c r="E72" s="310"/>
      <c r="F72" s="310"/>
      <c r="G72" s="310"/>
      <c r="H72" s="310"/>
      <c r="I72" s="31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.75" customHeight="1" x14ac:dyDescent="0.2">
      <c r="A73" s="281"/>
      <c r="B73" s="2"/>
      <c r="C73" s="310"/>
      <c r="D73" s="310"/>
      <c r="E73" s="310"/>
      <c r="F73" s="310"/>
      <c r="G73" s="310"/>
      <c r="H73" s="310"/>
      <c r="I73" s="31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.75" customHeight="1" x14ac:dyDescent="0.2">
      <c r="A74" s="281"/>
      <c r="B74" s="2"/>
      <c r="C74" s="2"/>
      <c r="D74" s="304"/>
      <c r="E74" s="304"/>
      <c r="F74" s="304"/>
      <c r="G74" s="2"/>
      <c r="H74" s="2"/>
      <c r="I74" s="28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.75" customHeight="1" x14ac:dyDescent="0.2">
      <c r="A75" s="281"/>
      <c r="B75" s="2"/>
      <c r="C75" s="2"/>
      <c r="D75" s="304"/>
      <c r="E75" s="304"/>
      <c r="F75" s="304"/>
      <c r="G75" s="2"/>
      <c r="H75" s="2"/>
      <c r="I75" s="28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.75" customHeight="1" x14ac:dyDescent="0.2">
      <c r="A76" s="281"/>
      <c r="B76" s="2"/>
      <c r="C76" s="2"/>
      <c r="D76" s="304"/>
      <c r="E76" s="304"/>
      <c r="F76" s="304"/>
      <c r="G76" s="2"/>
      <c r="H76" s="2"/>
      <c r="I76" s="28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.75" customHeight="1" x14ac:dyDescent="0.2">
      <c r="A77" s="281"/>
      <c r="B77" s="2"/>
      <c r="C77" s="2"/>
      <c r="D77" s="304"/>
      <c r="E77" s="304"/>
      <c r="F77" s="304"/>
      <c r="G77" s="2"/>
      <c r="H77" s="2"/>
      <c r="I77" s="28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.75" customHeight="1" x14ac:dyDescent="0.2">
      <c r="A78" s="281"/>
      <c r="B78" s="2"/>
      <c r="C78" s="2"/>
      <c r="D78" s="304"/>
      <c r="E78" s="304"/>
      <c r="F78" s="304"/>
      <c r="G78" s="2"/>
      <c r="H78" s="2"/>
      <c r="I78" s="28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.75" customHeight="1" x14ac:dyDescent="0.2">
      <c r="A79" s="281"/>
      <c r="B79" s="2"/>
      <c r="C79" s="2"/>
      <c r="D79" s="304"/>
      <c r="E79" s="304"/>
      <c r="F79" s="304"/>
      <c r="G79" s="2"/>
      <c r="H79" s="2"/>
      <c r="I79" s="28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.75" customHeight="1" x14ac:dyDescent="0.2">
      <c r="A80" s="281"/>
      <c r="B80" s="2"/>
      <c r="C80" s="2"/>
      <c r="D80" s="304"/>
      <c r="E80" s="304"/>
      <c r="F80" s="304"/>
      <c r="G80" s="2"/>
      <c r="H80" s="2"/>
      <c r="I80" s="28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.75" customHeight="1" x14ac:dyDescent="0.2">
      <c r="A81" s="281"/>
      <c r="B81" s="2"/>
      <c r="C81" s="2"/>
      <c r="D81" s="304"/>
      <c r="E81" s="304"/>
      <c r="F81" s="304"/>
      <c r="G81" s="2"/>
      <c r="H81" s="2"/>
      <c r="I81" s="28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.75" customHeight="1" x14ac:dyDescent="0.2">
      <c r="A82" s="281"/>
      <c r="B82" s="2"/>
      <c r="C82" s="2"/>
      <c r="D82" s="304"/>
      <c r="E82" s="304"/>
      <c r="F82" s="304"/>
      <c r="G82" s="2"/>
      <c r="H82" s="2"/>
      <c r="I82" s="28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.75" customHeight="1" x14ac:dyDescent="0.2">
      <c r="A83" s="281"/>
      <c r="B83" s="2"/>
      <c r="C83" s="2"/>
      <c r="D83" s="304"/>
      <c r="E83" s="304"/>
      <c r="F83" s="304"/>
      <c r="G83" s="2"/>
      <c r="H83" s="2"/>
      <c r="I83" s="28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.75" customHeight="1" x14ac:dyDescent="0.2">
      <c r="A84" s="281"/>
      <c r="B84" s="2"/>
      <c r="C84" s="2"/>
      <c r="D84" s="304"/>
      <c r="E84" s="304"/>
      <c r="F84" s="304"/>
      <c r="G84" s="2"/>
      <c r="H84" s="2"/>
      <c r="I84" s="28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.75" customHeight="1" x14ac:dyDescent="0.2">
      <c r="A85" s="281"/>
      <c r="B85" s="2"/>
      <c r="C85" s="2"/>
      <c r="D85" s="304"/>
      <c r="E85" s="304"/>
      <c r="F85" s="304"/>
      <c r="G85" s="2"/>
      <c r="H85" s="2"/>
      <c r="I85" s="28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.75" customHeight="1" x14ac:dyDescent="0.2">
      <c r="A86" s="281"/>
      <c r="B86" s="2"/>
      <c r="C86" s="2"/>
      <c r="D86" s="304"/>
      <c r="E86" s="304"/>
      <c r="F86" s="304"/>
      <c r="G86" s="2"/>
      <c r="H86" s="2"/>
      <c r="I86" s="28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.75" customHeight="1" x14ac:dyDescent="0.2">
      <c r="A87" s="281"/>
      <c r="B87" s="2"/>
      <c r="C87" s="2"/>
      <c r="D87" s="304"/>
      <c r="E87" s="304"/>
      <c r="F87" s="304"/>
      <c r="G87" s="2"/>
      <c r="H87" s="2"/>
      <c r="I87" s="28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.75" customHeight="1" x14ac:dyDescent="0.2">
      <c r="A88" s="281"/>
      <c r="B88" s="2"/>
      <c r="C88" s="2"/>
      <c r="D88" s="304"/>
      <c r="E88" s="304"/>
      <c r="F88" s="304"/>
      <c r="G88" s="2"/>
      <c r="H88" s="2"/>
      <c r="I88" s="28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.75" customHeight="1" x14ac:dyDescent="0.2">
      <c r="A89" s="281"/>
      <c r="B89" s="2"/>
      <c r="C89" s="2"/>
      <c r="D89" s="304"/>
      <c r="E89" s="304"/>
      <c r="F89" s="304"/>
      <c r="G89" s="2"/>
      <c r="H89" s="2"/>
      <c r="I89" s="28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.75" customHeight="1" x14ac:dyDescent="0.2">
      <c r="A90" s="281"/>
      <c r="B90" s="2"/>
      <c r="C90" s="2"/>
      <c r="D90" s="304"/>
      <c r="E90" s="304"/>
      <c r="F90" s="304"/>
      <c r="G90" s="2"/>
      <c r="H90" s="2"/>
      <c r="I90" s="28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.75" customHeight="1" x14ac:dyDescent="0.2">
      <c r="A91" s="281"/>
      <c r="B91" s="2"/>
      <c r="C91" s="2"/>
      <c r="D91" s="304"/>
      <c r="E91" s="304"/>
      <c r="F91" s="304"/>
      <c r="G91" s="2"/>
      <c r="H91" s="2"/>
      <c r="I91" s="28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.75" customHeight="1" x14ac:dyDescent="0.2">
      <c r="A92" s="281"/>
      <c r="B92" s="2"/>
      <c r="C92" s="2"/>
      <c r="D92" s="304"/>
      <c r="E92" s="304"/>
      <c r="F92" s="304"/>
      <c r="G92" s="2"/>
      <c r="H92" s="2"/>
      <c r="I92" s="28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.75" customHeight="1" x14ac:dyDescent="0.2">
      <c r="A93" s="424"/>
      <c r="B93" s="2"/>
      <c r="C93" s="2"/>
      <c r="D93" s="304"/>
      <c r="E93" s="304"/>
      <c r="F93" s="304"/>
      <c r="G93" s="2"/>
      <c r="H93" s="2"/>
      <c r="I93" s="288"/>
      <c r="J93" s="2"/>
      <c r="K93" s="2"/>
      <c r="L93" s="425"/>
      <c r="M93" s="426"/>
      <c r="N93" s="427"/>
      <c r="O93" s="426"/>
      <c r="P93" s="426"/>
      <c r="Q93" s="426"/>
      <c r="R93" s="426"/>
      <c r="S93" s="426"/>
      <c r="T93" s="426"/>
      <c r="U93" s="426"/>
      <c r="V93" s="428"/>
      <c r="W93" s="2"/>
      <c r="X93" s="2"/>
      <c r="Y93" s="2"/>
    </row>
    <row r="94" spans="1:25" ht="18.75" customHeight="1" x14ac:dyDescent="0.2">
      <c r="A94" s="429"/>
      <c r="B94" s="2"/>
      <c r="C94" s="2"/>
      <c r="D94" s="304"/>
      <c r="E94" s="304"/>
      <c r="F94" s="304"/>
      <c r="G94" s="2"/>
      <c r="H94" s="2"/>
      <c r="I94" s="288"/>
      <c r="J94" s="2"/>
      <c r="K94" s="2"/>
      <c r="L94" s="430"/>
      <c r="M94" s="431"/>
      <c r="N94" s="432"/>
      <c r="O94" s="431"/>
      <c r="P94" s="431"/>
      <c r="Q94" s="431"/>
      <c r="R94" s="431"/>
      <c r="S94" s="431"/>
      <c r="T94" s="431"/>
      <c r="U94" s="431"/>
      <c r="V94" s="433"/>
      <c r="W94" s="2"/>
      <c r="X94" s="2"/>
      <c r="Y94" s="2"/>
    </row>
    <row r="95" spans="1:25" ht="18.75" customHeight="1" x14ac:dyDescent="0.2">
      <c r="A95" s="429"/>
      <c r="B95" s="2"/>
      <c r="C95" s="2"/>
      <c r="D95" s="304"/>
      <c r="E95" s="304"/>
      <c r="F95" s="304"/>
      <c r="G95" s="2"/>
      <c r="H95" s="2"/>
      <c r="I95" s="288"/>
      <c r="J95" s="2"/>
      <c r="K95" s="2"/>
      <c r="L95" s="430"/>
      <c r="M95" s="431"/>
      <c r="N95" s="432"/>
      <c r="O95" s="431"/>
      <c r="P95" s="431"/>
      <c r="Q95" s="431"/>
      <c r="R95" s="431"/>
      <c r="S95" s="431"/>
      <c r="T95" s="431"/>
      <c r="U95" s="431"/>
      <c r="V95" s="433"/>
      <c r="W95" s="2"/>
      <c r="X95" s="2"/>
      <c r="Y95" s="2"/>
    </row>
    <row r="96" spans="1:25" ht="18.75" customHeight="1" x14ac:dyDescent="0.2">
      <c r="A96" s="429"/>
      <c r="B96" s="2"/>
      <c r="C96" s="2"/>
      <c r="D96" s="304"/>
      <c r="E96" s="304"/>
      <c r="F96" s="304"/>
      <c r="G96" s="2"/>
      <c r="H96" s="2"/>
      <c r="I96" s="288"/>
      <c r="J96" s="2"/>
      <c r="K96" s="2"/>
      <c r="L96" s="430"/>
      <c r="M96" s="431"/>
      <c r="N96" s="432"/>
      <c r="O96" s="431"/>
      <c r="P96" s="431"/>
      <c r="Q96" s="431"/>
      <c r="R96" s="431"/>
      <c r="S96" s="431"/>
      <c r="T96" s="431"/>
      <c r="U96" s="431"/>
      <c r="V96" s="433"/>
      <c r="W96" s="2"/>
      <c r="X96" s="2"/>
      <c r="Y96" s="2"/>
    </row>
    <row r="97" spans="1:25" ht="18.75" customHeight="1" x14ac:dyDescent="0.2">
      <c r="A97" s="429"/>
      <c r="B97" s="2"/>
      <c r="C97" s="2"/>
      <c r="D97" s="304"/>
      <c r="E97" s="304"/>
      <c r="F97" s="304"/>
      <c r="G97" s="2"/>
      <c r="H97" s="2"/>
      <c r="I97" s="288"/>
      <c r="J97" s="2"/>
      <c r="K97" s="2"/>
      <c r="L97" s="430"/>
      <c r="M97" s="431"/>
      <c r="N97" s="432"/>
      <c r="O97" s="431"/>
      <c r="P97" s="431"/>
      <c r="Q97" s="431"/>
      <c r="R97" s="431"/>
      <c r="S97" s="431"/>
      <c r="T97" s="431"/>
      <c r="U97" s="431"/>
      <c r="V97" s="433"/>
      <c r="W97" s="2"/>
      <c r="X97" s="2"/>
      <c r="Y97" s="2"/>
    </row>
    <row r="98" spans="1:25" ht="18.75" customHeight="1" x14ac:dyDescent="0.2">
      <c r="A98" s="434"/>
      <c r="B98" s="426"/>
      <c r="C98" s="426"/>
      <c r="D98" s="435"/>
      <c r="E98" s="436"/>
      <c r="F98" s="436"/>
      <c r="G98" s="437"/>
      <c r="H98" s="425"/>
      <c r="I98" s="438"/>
      <c r="J98" s="427"/>
      <c r="K98" s="426"/>
      <c r="L98" s="433"/>
      <c r="M98" s="431"/>
      <c r="N98" s="432"/>
      <c r="O98" s="431"/>
      <c r="P98" s="431"/>
      <c r="Q98" s="431"/>
      <c r="R98" s="431"/>
      <c r="S98" s="431"/>
      <c r="T98" s="431"/>
      <c r="U98" s="431"/>
      <c r="V98" s="433"/>
      <c r="W98" s="2"/>
      <c r="X98" s="2"/>
      <c r="Y98" s="2"/>
    </row>
    <row r="99" spans="1:25" ht="18.75" customHeight="1" x14ac:dyDescent="0.2">
      <c r="A99" s="434"/>
      <c r="B99" s="431"/>
      <c r="C99" s="431"/>
      <c r="D99" s="439"/>
      <c r="E99" s="440"/>
      <c r="F99" s="440"/>
      <c r="G99" s="441"/>
      <c r="H99" s="430"/>
      <c r="I99" s="442"/>
      <c r="J99" s="432"/>
      <c r="K99" s="431"/>
      <c r="L99" s="433"/>
      <c r="M99" s="431"/>
      <c r="N99" s="432"/>
      <c r="O99" s="431"/>
      <c r="P99" s="431"/>
      <c r="Q99" s="431"/>
      <c r="R99" s="431"/>
      <c r="S99" s="431"/>
      <c r="T99" s="431"/>
      <c r="U99" s="431"/>
      <c r="V99" s="433"/>
      <c r="W99" s="2"/>
      <c r="X99" s="2"/>
      <c r="Y99" s="2"/>
    </row>
    <row r="100" spans="1:25" ht="18.75" customHeight="1" x14ac:dyDescent="0.2">
      <c r="A100" s="434"/>
      <c r="B100" s="431"/>
      <c r="C100" s="431"/>
      <c r="D100" s="439"/>
      <c r="E100" s="440"/>
      <c r="F100" s="440"/>
      <c r="G100" s="441"/>
      <c r="H100" s="430"/>
      <c r="I100" s="442"/>
      <c r="J100" s="432"/>
      <c r="K100" s="431"/>
      <c r="L100" s="433"/>
      <c r="M100" s="431"/>
      <c r="N100" s="432"/>
      <c r="O100" s="431"/>
      <c r="P100" s="431"/>
      <c r="Q100" s="431"/>
      <c r="R100" s="431"/>
      <c r="S100" s="431"/>
      <c r="T100" s="431"/>
      <c r="U100" s="431"/>
      <c r="V100" s="433"/>
      <c r="W100" s="2"/>
      <c r="X100" s="2"/>
      <c r="Y100" s="2"/>
    </row>
    <row r="101" spans="1:25" ht="18.75" customHeight="1" x14ac:dyDescent="0.2">
      <c r="A101" s="434"/>
      <c r="B101" s="431"/>
      <c r="C101" s="431"/>
      <c r="D101" s="439"/>
      <c r="E101" s="440"/>
      <c r="F101" s="440"/>
      <c r="G101" s="441"/>
      <c r="H101" s="430"/>
      <c r="I101" s="442"/>
      <c r="J101" s="432"/>
      <c r="K101" s="431"/>
      <c r="L101" s="433"/>
      <c r="M101" s="431"/>
      <c r="N101" s="432"/>
      <c r="O101" s="431"/>
      <c r="P101" s="431"/>
      <c r="Q101" s="431"/>
      <c r="R101" s="431"/>
      <c r="S101" s="431"/>
      <c r="T101" s="431"/>
      <c r="U101" s="431"/>
      <c r="V101" s="433"/>
      <c r="W101" s="2"/>
      <c r="X101" s="2"/>
      <c r="Y101" s="2"/>
    </row>
    <row r="102" spans="1:25" ht="18.75" customHeight="1" x14ac:dyDescent="0.2">
      <c r="A102" s="434"/>
      <c r="B102" s="431"/>
      <c r="C102" s="431"/>
      <c r="D102" s="439"/>
      <c r="E102" s="440"/>
      <c r="F102" s="440"/>
      <c r="G102" s="441"/>
      <c r="H102" s="430"/>
      <c r="I102" s="442"/>
      <c r="J102" s="432"/>
      <c r="K102" s="431"/>
      <c r="L102" s="433"/>
      <c r="M102" s="431"/>
      <c r="N102" s="432"/>
      <c r="O102" s="431"/>
      <c r="P102" s="431"/>
      <c r="Q102" s="431"/>
      <c r="R102" s="431"/>
      <c r="S102" s="431"/>
      <c r="T102" s="431"/>
      <c r="U102" s="431"/>
      <c r="V102" s="433"/>
      <c r="W102" s="2"/>
      <c r="X102" s="2"/>
      <c r="Y102" s="2"/>
    </row>
    <row r="103" spans="1:25" ht="18.75" customHeight="1" x14ac:dyDescent="0.2">
      <c r="A103" s="434"/>
      <c r="B103" s="431"/>
      <c r="C103" s="431"/>
      <c r="D103" s="439"/>
      <c r="E103" s="440"/>
      <c r="F103" s="440"/>
      <c r="G103" s="441"/>
      <c r="H103" s="430"/>
      <c r="I103" s="442"/>
      <c r="J103" s="432"/>
      <c r="K103" s="431"/>
      <c r="L103" s="433"/>
      <c r="M103" s="431"/>
      <c r="N103" s="432"/>
      <c r="O103" s="431"/>
      <c r="P103" s="431"/>
      <c r="Q103" s="431"/>
      <c r="R103" s="431"/>
      <c r="S103" s="431"/>
      <c r="T103" s="431"/>
      <c r="U103" s="431"/>
      <c r="V103" s="433"/>
      <c r="W103" s="2"/>
      <c r="X103" s="2"/>
      <c r="Y103" s="2"/>
    </row>
    <row r="104" spans="1:25" ht="18.75" customHeight="1" x14ac:dyDescent="0.2">
      <c r="A104" s="434"/>
      <c r="B104" s="431"/>
      <c r="C104" s="431"/>
      <c r="D104" s="439"/>
      <c r="E104" s="440"/>
      <c r="F104" s="440"/>
      <c r="G104" s="441"/>
      <c r="H104" s="430"/>
      <c r="I104" s="442"/>
      <c r="J104" s="432"/>
      <c r="K104" s="431"/>
      <c r="L104" s="433"/>
      <c r="M104" s="431"/>
      <c r="N104" s="432"/>
      <c r="O104" s="431"/>
      <c r="P104" s="431"/>
      <c r="Q104" s="431"/>
      <c r="R104" s="431"/>
      <c r="S104" s="431"/>
      <c r="T104" s="431"/>
      <c r="U104" s="431"/>
      <c r="V104" s="433"/>
      <c r="W104" s="2"/>
      <c r="X104" s="2"/>
      <c r="Y104" s="2"/>
    </row>
    <row r="105" spans="1:25" ht="18.75" customHeight="1" x14ac:dyDescent="0.2">
      <c r="A105" s="434"/>
      <c r="B105" s="431"/>
      <c r="C105" s="431"/>
      <c r="D105" s="439"/>
      <c r="E105" s="440"/>
      <c r="F105" s="440"/>
      <c r="G105" s="441"/>
      <c r="H105" s="430"/>
      <c r="I105" s="442"/>
      <c r="J105" s="432"/>
      <c r="K105" s="431"/>
      <c r="L105" s="433"/>
      <c r="M105" s="431"/>
      <c r="N105" s="432"/>
      <c r="O105" s="431"/>
      <c r="P105" s="431"/>
      <c r="Q105" s="431"/>
      <c r="R105" s="431"/>
      <c r="S105" s="431"/>
      <c r="T105" s="431"/>
      <c r="U105" s="431"/>
      <c r="V105" s="433"/>
      <c r="W105" s="2"/>
      <c r="X105" s="2"/>
      <c r="Y105" s="2"/>
    </row>
    <row r="106" spans="1:25" ht="18.75" customHeight="1" x14ac:dyDescent="0.2">
      <c r="A106" s="434"/>
      <c r="B106" s="431"/>
      <c r="C106" s="431"/>
      <c r="D106" s="439"/>
      <c r="E106" s="440"/>
      <c r="F106" s="440"/>
      <c r="G106" s="441"/>
      <c r="H106" s="430"/>
      <c r="I106" s="442"/>
      <c r="J106" s="432"/>
      <c r="K106" s="431"/>
      <c r="L106" s="433"/>
      <c r="M106" s="431"/>
      <c r="N106" s="432"/>
      <c r="O106" s="431"/>
      <c r="P106" s="431"/>
      <c r="Q106" s="431"/>
      <c r="R106" s="431"/>
      <c r="S106" s="431"/>
      <c r="T106" s="431"/>
      <c r="U106" s="431"/>
      <c r="V106" s="433"/>
      <c r="W106" s="2"/>
      <c r="X106" s="2"/>
      <c r="Y106" s="2"/>
    </row>
    <row r="107" spans="1:25" ht="18.75" customHeight="1" x14ac:dyDescent="0.2">
      <c r="A107" s="434"/>
      <c r="B107" s="431"/>
      <c r="C107" s="431"/>
      <c r="D107" s="439"/>
      <c r="E107" s="440"/>
      <c r="F107" s="440"/>
      <c r="G107" s="441"/>
      <c r="H107" s="430"/>
      <c r="I107" s="442"/>
      <c r="J107" s="432"/>
      <c r="K107" s="431"/>
      <c r="L107" s="433"/>
      <c r="M107" s="431"/>
      <c r="N107" s="432"/>
      <c r="O107" s="431"/>
      <c r="P107" s="431"/>
      <c r="Q107" s="431"/>
      <c r="R107" s="431"/>
      <c r="S107" s="431"/>
      <c r="T107" s="431"/>
      <c r="U107" s="431"/>
      <c r="V107" s="433"/>
      <c r="W107" s="2"/>
      <c r="X107" s="2"/>
      <c r="Y107" s="2"/>
    </row>
    <row r="108" spans="1:25" ht="18.75" customHeight="1" x14ac:dyDescent="0.2">
      <c r="A108" s="434"/>
      <c r="B108" s="431"/>
      <c r="C108" s="431"/>
      <c r="D108" s="439"/>
      <c r="E108" s="440"/>
      <c r="F108" s="440"/>
      <c r="G108" s="441"/>
      <c r="H108" s="430"/>
      <c r="I108" s="442"/>
      <c r="J108" s="432"/>
      <c r="K108" s="431"/>
      <c r="L108" s="433"/>
      <c r="M108" s="431"/>
      <c r="N108" s="432"/>
      <c r="O108" s="431"/>
      <c r="P108" s="431"/>
      <c r="Q108" s="431"/>
      <c r="R108" s="431"/>
      <c r="S108" s="431"/>
      <c r="T108" s="431"/>
      <c r="U108" s="431"/>
      <c r="V108" s="433"/>
      <c r="W108" s="2"/>
      <c r="X108" s="2"/>
      <c r="Y108" s="2"/>
    </row>
    <row r="109" spans="1:25" ht="18.75" customHeight="1" x14ac:dyDescent="0.2">
      <c r="A109" s="434"/>
      <c r="B109" s="431"/>
      <c r="C109" s="431"/>
      <c r="D109" s="439"/>
      <c r="E109" s="440"/>
      <c r="F109" s="440"/>
      <c r="G109" s="441"/>
      <c r="H109" s="430"/>
      <c r="I109" s="442"/>
      <c r="J109" s="432"/>
      <c r="K109" s="431"/>
      <c r="L109" s="433"/>
      <c r="M109" s="431"/>
      <c r="N109" s="432"/>
      <c r="O109" s="431"/>
      <c r="P109" s="431"/>
      <c r="Q109" s="431"/>
      <c r="R109" s="431"/>
      <c r="S109" s="431"/>
      <c r="T109" s="431"/>
      <c r="U109" s="431"/>
      <c r="V109" s="433"/>
      <c r="W109" s="2"/>
      <c r="X109" s="2"/>
      <c r="Y109" s="2"/>
    </row>
    <row r="110" spans="1:25" ht="18.75" customHeight="1" x14ac:dyDescent="0.2">
      <c r="A110" s="434"/>
      <c r="B110" s="431"/>
      <c r="C110" s="431"/>
      <c r="D110" s="439"/>
      <c r="E110" s="440"/>
      <c r="F110" s="440"/>
      <c r="G110" s="441"/>
      <c r="H110" s="430"/>
      <c r="I110" s="442"/>
      <c r="J110" s="432"/>
      <c r="K110" s="431"/>
      <c r="L110" s="433"/>
      <c r="M110" s="431"/>
      <c r="N110" s="432"/>
      <c r="O110" s="431"/>
      <c r="P110" s="431"/>
      <c r="Q110" s="431"/>
      <c r="R110" s="431"/>
      <c r="S110" s="431"/>
      <c r="T110" s="431"/>
      <c r="U110" s="431"/>
      <c r="V110" s="433"/>
      <c r="W110" s="2"/>
      <c r="X110" s="2"/>
      <c r="Y110" s="2"/>
    </row>
    <row r="111" spans="1:25" ht="18.75" customHeight="1" x14ac:dyDescent="0.2">
      <c r="A111" s="434"/>
      <c r="B111" s="431"/>
      <c r="C111" s="431"/>
      <c r="D111" s="439"/>
      <c r="E111" s="440"/>
      <c r="F111" s="440"/>
      <c r="G111" s="441"/>
      <c r="H111" s="430"/>
      <c r="I111" s="442"/>
      <c r="J111" s="432"/>
      <c r="K111" s="431"/>
      <c r="L111" s="433"/>
      <c r="M111" s="431"/>
      <c r="N111" s="432"/>
      <c r="O111" s="431"/>
      <c r="P111" s="431"/>
      <c r="Q111" s="431"/>
      <c r="R111" s="431"/>
      <c r="S111" s="431"/>
      <c r="T111" s="431"/>
      <c r="U111" s="431"/>
      <c r="V111" s="433"/>
      <c r="W111" s="2"/>
      <c r="X111" s="2"/>
      <c r="Y111" s="2"/>
    </row>
    <row r="112" spans="1:25" ht="18.75" customHeight="1" x14ac:dyDescent="0.2">
      <c r="A112" s="434"/>
      <c r="B112" s="431"/>
      <c r="C112" s="431"/>
      <c r="D112" s="439"/>
      <c r="E112" s="440"/>
      <c r="F112" s="440"/>
      <c r="G112" s="441"/>
      <c r="H112" s="430"/>
      <c r="I112" s="442"/>
      <c r="J112" s="432"/>
      <c r="K112" s="431"/>
      <c r="L112" s="433"/>
      <c r="M112" s="431"/>
      <c r="N112" s="432"/>
      <c r="O112" s="431"/>
      <c r="P112" s="431"/>
      <c r="Q112" s="431"/>
      <c r="R112" s="431"/>
      <c r="S112" s="431"/>
      <c r="T112" s="431"/>
      <c r="U112" s="431"/>
      <c r="V112" s="433"/>
      <c r="W112" s="2"/>
      <c r="X112" s="2"/>
      <c r="Y112" s="2"/>
    </row>
    <row r="113" spans="1:25" ht="18.75" customHeight="1" x14ac:dyDescent="0.2">
      <c r="A113" s="434"/>
      <c r="B113" s="431"/>
      <c r="C113" s="431"/>
      <c r="D113" s="439"/>
      <c r="E113" s="440"/>
      <c r="F113" s="440"/>
      <c r="G113" s="441"/>
      <c r="H113" s="430"/>
      <c r="I113" s="442"/>
      <c r="J113" s="432"/>
      <c r="K113" s="431"/>
      <c r="L113" s="433"/>
      <c r="M113" s="431"/>
      <c r="N113" s="432"/>
      <c r="O113" s="431"/>
      <c r="P113" s="431"/>
      <c r="Q113" s="431"/>
      <c r="R113" s="431"/>
      <c r="S113" s="431"/>
      <c r="T113" s="431"/>
      <c r="U113" s="431"/>
      <c r="V113" s="433"/>
      <c r="W113" s="2"/>
      <c r="X113" s="2"/>
      <c r="Y113" s="2"/>
    </row>
    <row r="114" spans="1:25" ht="18.75" customHeight="1" x14ac:dyDescent="0.2">
      <c r="A114" s="434"/>
      <c r="B114" s="431"/>
      <c r="C114" s="431"/>
      <c r="D114" s="439"/>
      <c r="E114" s="440"/>
      <c r="F114" s="440"/>
      <c r="G114" s="441"/>
      <c r="H114" s="430"/>
      <c r="I114" s="442"/>
      <c r="J114" s="432"/>
      <c r="K114" s="431"/>
      <c r="L114" s="433"/>
      <c r="M114" s="431"/>
      <c r="N114" s="432"/>
      <c r="O114" s="431"/>
      <c r="P114" s="431"/>
      <c r="Q114" s="431"/>
      <c r="R114" s="431"/>
      <c r="S114" s="431"/>
      <c r="T114" s="431"/>
      <c r="U114" s="431"/>
      <c r="V114" s="433"/>
      <c r="W114" s="2"/>
      <c r="X114" s="2"/>
      <c r="Y114" s="2"/>
    </row>
    <row r="115" spans="1:25" ht="18.75" customHeight="1" x14ac:dyDescent="0.2">
      <c r="A115" s="434"/>
      <c r="B115" s="431"/>
      <c r="C115" s="431"/>
      <c r="D115" s="439"/>
      <c r="E115" s="440"/>
      <c r="F115" s="440"/>
      <c r="G115" s="441"/>
      <c r="H115" s="430"/>
      <c r="I115" s="442"/>
      <c r="J115" s="432"/>
      <c r="K115" s="431"/>
      <c r="L115" s="433"/>
      <c r="M115" s="431"/>
      <c r="N115" s="432"/>
      <c r="O115" s="431"/>
      <c r="P115" s="431"/>
      <c r="Q115" s="431"/>
      <c r="R115" s="431"/>
      <c r="S115" s="431"/>
      <c r="T115" s="431"/>
      <c r="U115" s="431"/>
      <c r="V115" s="433"/>
      <c r="W115" s="2"/>
      <c r="X115" s="2"/>
      <c r="Y115" s="2"/>
    </row>
    <row r="116" spans="1:25" ht="18.75" customHeight="1" x14ac:dyDescent="0.2">
      <c r="A116" s="434"/>
      <c r="B116" s="431"/>
      <c r="C116" s="431"/>
      <c r="D116" s="439"/>
      <c r="E116" s="440"/>
      <c r="F116" s="440"/>
      <c r="G116" s="441"/>
      <c r="H116" s="430"/>
      <c r="I116" s="442"/>
      <c r="J116" s="432"/>
      <c r="K116" s="431"/>
      <c r="L116" s="433"/>
      <c r="M116" s="431"/>
      <c r="N116" s="432"/>
      <c r="O116" s="431"/>
      <c r="P116" s="431"/>
      <c r="Q116" s="431"/>
      <c r="R116" s="431"/>
      <c r="S116" s="431"/>
      <c r="T116" s="431"/>
      <c r="U116" s="431"/>
      <c r="V116" s="433"/>
      <c r="W116" s="2"/>
      <c r="X116" s="2"/>
      <c r="Y116" s="2"/>
    </row>
    <row r="117" spans="1:25" ht="18.75" customHeight="1" x14ac:dyDescent="0.2">
      <c r="A117" s="434"/>
      <c r="B117" s="431"/>
      <c r="C117" s="431"/>
      <c r="D117" s="439"/>
      <c r="E117" s="440"/>
      <c r="F117" s="440"/>
      <c r="G117" s="441"/>
      <c r="H117" s="430"/>
      <c r="I117" s="442"/>
      <c r="J117" s="432"/>
      <c r="K117" s="431"/>
      <c r="L117" s="433"/>
      <c r="M117" s="431"/>
      <c r="N117" s="432"/>
      <c r="O117" s="431"/>
      <c r="P117" s="431"/>
      <c r="Q117" s="431"/>
      <c r="R117" s="431"/>
      <c r="S117" s="431"/>
      <c r="T117" s="431"/>
      <c r="U117" s="431"/>
      <c r="V117" s="433"/>
      <c r="W117" s="2"/>
      <c r="X117" s="2"/>
      <c r="Y117" s="2"/>
    </row>
    <row r="118" spans="1:25" ht="18.75" customHeight="1" x14ac:dyDescent="0.2">
      <c r="A118" s="434"/>
      <c r="B118" s="431"/>
      <c r="C118" s="431"/>
      <c r="D118" s="439"/>
      <c r="E118" s="440"/>
      <c r="F118" s="440"/>
      <c r="G118" s="441"/>
      <c r="H118" s="430"/>
      <c r="I118" s="442"/>
      <c r="J118" s="432"/>
      <c r="K118" s="431"/>
      <c r="L118" s="433"/>
      <c r="M118" s="431"/>
      <c r="N118" s="432"/>
      <c r="O118" s="431"/>
      <c r="P118" s="431"/>
      <c r="Q118" s="431"/>
      <c r="R118" s="431"/>
      <c r="S118" s="431"/>
      <c r="T118" s="431"/>
      <c r="U118" s="431"/>
      <c r="V118" s="433"/>
      <c r="W118" s="2"/>
      <c r="X118" s="2"/>
      <c r="Y118" s="2"/>
    </row>
    <row r="119" spans="1:25" ht="18.75" customHeight="1" x14ac:dyDescent="0.2">
      <c r="A119" s="434"/>
      <c r="B119" s="431"/>
      <c r="C119" s="431"/>
      <c r="D119" s="439"/>
      <c r="E119" s="440"/>
      <c r="F119" s="440"/>
      <c r="G119" s="441"/>
      <c r="H119" s="430"/>
      <c r="I119" s="442"/>
      <c r="J119" s="432"/>
      <c r="K119" s="431"/>
      <c r="L119" s="433"/>
      <c r="M119" s="431"/>
      <c r="N119" s="432"/>
      <c r="O119" s="431"/>
      <c r="P119" s="431"/>
      <c r="Q119" s="431"/>
      <c r="R119" s="431"/>
      <c r="S119" s="431"/>
      <c r="T119" s="431"/>
      <c r="U119" s="431"/>
      <c r="V119" s="433"/>
      <c r="W119" s="2"/>
      <c r="X119" s="2"/>
      <c r="Y119" s="2"/>
    </row>
    <row r="120" spans="1:25" ht="18.75" customHeight="1" x14ac:dyDescent="0.2">
      <c r="A120" s="434"/>
      <c r="B120" s="431"/>
      <c r="C120" s="431"/>
      <c r="D120" s="439"/>
      <c r="E120" s="440"/>
      <c r="F120" s="440"/>
      <c r="G120" s="441"/>
      <c r="H120" s="430"/>
      <c r="I120" s="442"/>
      <c r="J120" s="432"/>
      <c r="K120" s="431"/>
      <c r="L120" s="433"/>
      <c r="M120" s="431"/>
      <c r="N120" s="432"/>
      <c r="O120" s="431"/>
      <c r="P120" s="431"/>
      <c r="Q120" s="431"/>
      <c r="R120" s="431"/>
      <c r="S120" s="431"/>
      <c r="T120" s="431"/>
      <c r="U120" s="431"/>
      <c r="V120" s="433"/>
      <c r="W120" s="2"/>
      <c r="X120" s="2"/>
      <c r="Y120" s="2"/>
    </row>
    <row r="121" spans="1:25" ht="18.75" customHeight="1" x14ac:dyDescent="0.2">
      <c r="A121" s="434"/>
      <c r="B121" s="431"/>
      <c r="C121" s="431"/>
      <c r="D121" s="439"/>
      <c r="E121" s="440"/>
      <c r="F121" s="440"/>
      <c r="G121" s="441"/>
      <c r="H121" s="430"/>
      <c r="I121" s="442"/>
      <c r="J121" s="432"/>
      <c r="K121" s="431"/>
      <c r="L121" s="433"/>
      <c r="M121" s="431"/>
      <c r="N121" s="432"/>
      <c r="O121" s="431"/>
      <c r="P121" s="431"/>
      <c r="Q121" s="431"/>
      <c r="R121" s="431"/>
      <c r="S121" s="431"/>
      <c r="T121" s="431"/>
      <c r="U121" s="431"/>
      <c r="V121" s="433"/>
      <c r="W121" s="2"/>
      <c r="X121" s="2"/>
      <c r="Y121" s="2"/>
    </row>
    <row r="122" spans="1:25" ht="18.75" customHeight="1" x14ac:dyDescent="0.2">
      <c r="A122" s="434"/>
      <c r="B122" s="431"/>
      <c r="C122" s="431"/>
      <c r="D122" s="439"/>
      <c r="E122" s="440"/>
      <c r="F122" s="440"/>
      <c r="G122" s="441"/>
      <c r="H122" s="430"/>
      <c r="I122" s="442"/>
      <c r="J122" s="432"/>
      <c r="K122" s="431"/>
      <c r="L122" s="433"/>
      <c r="M122" s="431"/>
      <c r="N122" s="432"/>
      <c r="O122" s="431"/>
      <c r="P122" s="431"/>
      <c r="Q122" s="431"/>
      <c r="R122" s="431"/>
      <c r="S122" s="431"/>
      <c r="T122" s="431"/>
      <c r="U122" s="431"/>
      <c r="V122" s="433"/>
      <c r="W122" s="2"/>
      <c r="X122" s="2"/>
      <c r="Y122" s="2"/>
    </row>
    <row r="123" spans="1:25" ht="18.75" customHeight="1" x14ac:dyDescent="0.2">
      <c r="A123" s="434"/>
      <c r="B123" s="431"/>
      <c r="C123" s="431"/>
      <c r="D123" s="439"/>
      <c r="E123" s="440"/>
      <c r="F123" s="440"/>
      <c r="G123" s="441"/>
      <c r="H123" s="430"/>
      <c r="I123" s="442"/>
      <c r="J123" s="432"/>
      <c r="K123" s="431"/>
      <c r="L123" s="433"/>
      <c r="M123" s="431"/>
      <c r="N123" s="432"/>
      <c r="O123" s="431"/>
      <c r="P123" s="431"/>
      <c r="Q123" s="431"/>
      <c r="R123" s="431"/>
      <c r="S123" s="431"/>
      <c r="T123" s="431"/>
      <c r="U123" s="431"/>
      <c r="V123" s="433"/>
      <c r="W123" s="2"/>
      <c r="X123" s="2"/>
      <c r="Y123" s="2"/>
    </row>
    <row r="124" spans="1:25" ht="18.75" customHeight="1" x14ac:dyDescent="0.2">
      <c r="A124" s="434"/>
      <c r="B124" s="431"/>
      <c r="C124" s="431"/>
      <c r="D124" s="439"/>
      <c r="E124" s="440"/>
      <c r="F124" s="440"/>
      <c r="G124" s="441"/>
      <c r="H124" s="430"/>
      <c r="I124" s="442"/>
      <c r="J124" s="432"/>
      <c r="K124" s="431"/>
      <c r="L124" s="433"/>
      <c r="M124" s="431"/>
      <c r="N124" s="432"/>
      <c r="O124" s="431"/>
      <c r="P124" s="431"/>
      <c r="Q124" s="431"/>
      <c r="R124" s="431"/>
      <c r="S124" s="431"/>
      <c r="T124" s="431"/>
      <c r="U124" s="431"/>
      <c r="V124" s="433"/>
      <c r="W124" s="2"/>
      <c r="X124" s="2"/>
      <c r="Y124" s="2"/>
    </row>
    <row r="125" spans="1:25" ht="18.75" customHeight="1" x14ac:dyDescent="0.2">
      <c r="A125" s="434"/>
      <c r="B125" s="431"/>
      <c r="C125" s="431"/>
      <c r="D125" s="439"/>
      <c r="E125" s="440"/>
      <c r="F125" s="440"/>
      <c r="G125" s="441"/>
      <c r="H125" s="430"/>
      <c r="I125" s="442"/>
      <c r="J125" s="432"/>
      <c r="K125" s="431"/>
      <c r="L125" s="433"/>
      <c r="M125" s="431"/>
      <c r="N125" s="432"/>
      <c r="O125" s="431"/>
      <c r="P125" s="431"/>
      <c r="Q125" s="431"/>
      <c r="R125" s="431"/>
      <c r="S125" s="431"/>
      <c r="T125" s="431"/>
      <c r="U125" s="431"/>
      <c r="V125" s="433"/>
      <c r="W125" s="2"/>
      <c r="X125" s="2"/>
      <c r="Y125" s="2"/>
    </row>
    <row r="126" spans="1:25" ht="18.75" customHeight="1" x14ac:dyDescent="0.2">
      <c r="A126" s="434"/>
      <c r="B126" s="431"/>
      <c r="C126" s="431"/>
      <c r="D126" s="439"/>
      <c r="E126" s="440"/>
      <c r="F126" s="440"/>
      <c r="G126" s="441"/>
      <c r="H126" s="430"/>
      <c r="I126" s="442"/>
      <c r="J126" s="432"/>
      <c r="K126" s="431"/>
      <c r="L126" s="433"/>
      <c r="M126" s="431"/>
      <c r="N126" s="432"/>
      <c r="O126" s="431"/>
      <c r="P126" s="431"/>
      <c r="Q126" s="431"/>
      <c r="R126" s="431"/>
      <c r="S126" s="431"/>
      <c r="T126" s="431"/>
      <c r="U126" s="431"/>
      <c r="V126" s="433"/>
      <c r="W126" s="2"/>
      <c r="X126" s="2"/>
      <c r="Y126" s="2"/>
    </row>
    <row r="127" spans="1:25" ht="18.75" customHeight="1" x14ac:dyDescent="0.2">
      <c r="A127" s="434"/>
      <c r="B127" s="431"/>
      <c r="C127" s="431"/>
      <c r="D127" s="439"/>
      <c r="E127" s="440"/>
      <c r="F127" s="440"/>
      <c r="G127" s="441"/>
      <c r="H127" s="430"/>
      <c r="I127" s="442"/>
      <c r="J127" s="432"/>
      <c r="K127" s="431"/>
      <c r="L127" s="433"/>
      <c r="M127" s="431"/>
      <c r="N127" s="432"/>
      <c r="O127" s="431"/>
      <c r="P127" s="431"/>
      <c r="Q127" s="431"/>
      <c r="R127" s="431"/>
      <c r="S127" s="431"/>
      <c r="T127" s="431"/>
      <c r="U127" s="431"/>
      <c r="V127" s="433"/>
      <c r="W127" s="2"/>
      <c r="X127" s="2"/>
      <c r="Y127" s="2"/>
    </row>
    <row r="128" spans="1:25" ht="18.75" customHeight="1" x14ac:dyDescent="0.2">
      <c r="A128" s="434"/>
      <c r="B128" s="431"/>
      <c r="C128" s="431"/>
      <c r="D128" s="439"/>
      <c r="E128" s="440"/>
      <c r="F128" s="440"/>
      <c r="G128" s="441"/>
      <c r="H128" s="430"/>
      <c r="I128" s="442"/>
      <c r="J128" s="432"/>
      <c r="K128" s="431"/>
      <c r="L128" s="433"/>
      <c r="M128" s="431"/>
      <c r="N128" s="432"/>
      <c r="O128" s="431"/>
      <c r="P128" s="431"/>
      <c r="Q128" s="431"/>
      <c r="R128" s="431"/>
      <c r="S128" s="431"/>
      <c r="T128" s="431"/>
      <c r="U128" s="431"/>
      <c r="V128" s="433"/>
      <c r="W128" s="2"/>
      <c r="X128" s="2"/>
      <c r="Y128" s="2"/>
    </row>
    <row r="129" spans="1:25" ht="18.75" customHeight="1" x14ac:dyDescent="0.2">
      <c r="A129" s="434"/>
      <c r="B129" s="431"/>
      <c r="C129" s="431"/>
      <c r="D129" s="439"/>
      <c r="E129" s="440"/>
      <c r="F129" s="440"/>
      <c r="G129" s="441"/>
      <c r="H129" s="430"/>
      <c r="I129" s="442"/>
      <c r="J129" s="432"/>
      <c r="K129" s="431"/>
      <c r="L129" s="433"/>
      <c r="M129" s="431"/>
      <c r="N129" s="432"/>
      <c r="O129" s="431"/>
      <c r="P129" s="431"/>
      <c r="Q129" s="431"/>
      <c r="R129" s="431"/>
      <c r="S129" s="431"/>
      <c r="T129" s="431"/>
      <c r="U129" s="431"/>
      <c r="V129" s="433"/>
      <c r="W129" s="2"/>
      <c r="X129" s="2"/>
      <c r="Y129" s="2"/>
    </row>
    <row r="130" spans="1:25" ht="18.75" customHeight="1" x14ac:dyDescent="0.2">
      <c r="A130" s="434"/>
      <c r="B130" s="431"/>
      <c r="C130" s="431"/>
      <c r="D130" s="439"/>
      <c r="E130" s="440"/>
      <c r="F130" s="440"/>
      <c r="G130" s="441"/>
      <c r="H130" s="430"/>
      <c r="I130" s="442"/>
      <c r="J130" s="432"/>
      <c r="K130" s="431"/>
      <c r="L130" s="433"/>
      <c r="M130" s="431"/>
      <c r="N130" s="432"/>
      <c r="O130" s="431"/>
      <c r="P130" s="431"/>
      <c r="Q130" s="431"/>
      <c r="R130" s="431"/>
      <c r="S130" s="431"/>
      <c r="T130" s="431"/>
      <c r="U130" s="431"/>
      <c r="V130" s="433"/>
      <c r="W130" s="2"/>
      <c r="X130" s="2"/>
      <c r="Y130" s="2"/>
    </row>
    <row r="131" spans="1:25" ht="18.75" customHeight="1" x14ac:dyDescent="0.2">
      <c r="A131" s="434"/>
      <c r="B131" s="431"/>
      <c r="C131" s="431"/>
      <c r="D131" s="439"/>
      <c r="E131" s="440"/>
      <c r="F131" s="440"/>
      <c r="G131" s="441"/>
      <c r="H131" s="430"/>
      <c r="I131" s="442"/>
      <c r="J131" s="432"/>
      <c r="K131" s="431"/>
      <c r="L131" s="433"/>
      <c r="M131" s="431"/>
      <c r="N131" s="432"/>
      <c r="O131" s="431"/>
      <c r="P131" s="431"/>
      <c r="Q131" s="431"/>
      <c r="R131" s="431"/>
      <c r="S131" s="431"/>
      <c r="T131" s="431"/>
      <c r="U131" s="431"/>
      <c r="V131" s="433"/>
      <c r="W131" s="2"/>
      <c r="X131" s="2"/>
      <c r="Y131" s="2"/>
    </row>
    <row r="132" spans="1:25" ht="18.75" customHeight="1" x14ac:dyDescent="0.2">
      <c r="A132" s="434"/>
      <c r="B132" s="431"/>
      <c r="C132" s="431"/>
      <c r="D132" s="439"/>
      <c r="E132" s="440"/>
      <c r="F132" s="440"/>
      <c r="G132" s="441"/>
      <c r="H132" s="430"/>
      <c r="I132" s="442"/>
      <c r="J132" s="432"/>
      <c r="K132" s="431"/>
      <c r="L132" s="433"/>
      <c r="M132" s="431"/>
      <c r="N132" s="432"/>
      <c r="O132" s="431"/>
      <c r="P132" s="431"/>
      <c r="Q132" s="431"/>
      <c r="R132" s="431"/>
      <c r="S132" s="431"/>
      <c r="T132" s="431"/>
      <c r="U132" s="431"/>
      <c r="V132" s="433"/>
      <c r="W132" s="2"/>
      <c r="X132" s="2"/>
      <c r="Y132" s="2"/>
    </row>
    <row r="133" spans="1:25" ht="18.75" customHeight="1" x14ac:dyDescent="0.2">
      <c r="A133" s="434"/>
      <c r="B133" s="431"/>
      <c r="C133" s="431"/>
      <c r="D133" s="431"/>
      <c r="E133" s="433"/>
      <c r="F133" s="433"/>
      <c r="G133" s="441"/>
      <c r="H133" s="430"/>
      <c r="I133" s="442"/>
      <c r="J133" s="432"/>
      <c r="K133" s="431"/>
      <c r="L133" s="433"/>
      <c r="M133" s="431"/>
      <c r="N133" s="432"/>
      <c r="O133" s="431"/>
      <c r="P133" s="431"/>
      <c r="Q133" s="431"/>
      <c r="R133" s="431"/>
      <c r="S133" s="431"/>
      <c r="T133" s="431"/>
      <c r="U133" s="431"/>
      <c r="V133" s="433"/>
      <c r="W133" s="2"/>
      <c r="X133" s="2"/>
      <c r="Y133" s="2"/>
    </row>
    <row r="134" spans="1:25" ht="18.75" customHeight="1" x14ac:dyDescent="0.2">
      <c r="A134" s="434"/>
      <c r="B134" s="431"/>
      <c r="C134" s="431"/>
      <c r="D134" s="431"/>
      <c r="E134" s="433"/>
      <c r="F134" s="433"/>
      <c r="G134" s="441"/>
      <c r="H134" s="430"/>
      <c r="I134" s="442"/>
      <c r="J134" s="432"/>
      <c r="K134" s="431"/>
      <c r="L134" s="433"/>
      <c r="M134" s="431"/>
      <c r="N134" s="432"/>
      <c r="O134" s="431"/>
      <c r="P134" s="431"/>
      <c r="Q134" s="431"/>
      <c r="R134" s="431"/>
      <c r="S134" s="431"/>
      <c r="T134" s="431"/>
      <c r="U134" s="431"/>
      <c r="V134" s="433"/>
      <c r="W134" s="2"/>
      <c r="X134" s="2"/>
      <c r="Y134" s="2"/>
    </row>
    <row r="135" spans="1:25" ht="18.75" customHeight="1" x14ac:dyDescent="0.2">
      <c r="A135" s="434"/>
      <c r="B135" s="431"/>
      <c r="C135" s="431"/>
      <c r="D135" s="431"/>
      <c r="E135" s="433"/>
      <c r="F135" s="433"/>
      <c r="G135" s="441"/>
      <c r="H135" s="430"/>
      <c r="I135" s="442"/>
      <c r="J135" s="432"/>
      <c r="K135" s="431"/>
      <c r="L135" s="433"/>
      <c r="M135" s="431"/>
      <c r="N135" s="432"/>
      <c r="O135" s="431"/>
      <c r="P135" s="431"/>
      <c r="Q135" s="431"/>
      <c r="R135" s="431"/>
      <c r="S135" s="431"/>
      <c r="T135" s="431"/>
      <c r="U135" s="431"/>
      <c r="V135" s="433"/>
      <c r="W135" s="2"/>
      <c r="X135" s="2"/>
      <c r="Y135" s="2"/>
    </row>
    <row r="136" spans="1:25" ht="18.75" customHeight="1" x14ac:dyDescent="0.2">
      <c r="A136" s="434"/>
      <c r="B136" s="431"/>
      <c r="C136" s="431"/>
      <c r="D136" s="431"/>
      <c r="E136" s="433"/>
      <c r="F136" s="433"/>
      <c r="G136" s="441"/>
      <c r="H136" s="430"/>
      <c r="I136" s="442"/>
      <c r="J136" s="432"/>
      <c r="K136" s="431"/>
      <c r="L136" s="433"/>
      <c r="M136" s="431"/>
      <c r="N136" s="432"/>
      <c r="O136" s="431"/>
      <c r="P136" s="431"/>
      <c r="Q136" s="431"/>
      <c r="R136" s="431"/>
      <c r="S136" s="431"/>
      <c r="T136" s="431"/>
      <c r="U136" s="431"/>
      <c r="V136" s="433"/>
      <c r="W136" s="2"/>
      <c r="X136" s="2"/>
      <c r="Y136" s="2"/>
    </row>
    <row r="137" spans="1:25" ht="18.75" customHeight="1" x14ac:dyDescent="0.2">
      <c r="A137" s="434"/>
      <c r="B137" s="431"/>
      <c r="C137" s="431"/>
      <c r="D137" s="431"/>
      <c r="E137" s="433"/>
      <c r="F137" s="433"/>
      <c r="G137" s="441"/>
      <c r="H137" s="430"/>
      <c r="I137" s="442"/>
      <c r="J137" s="432"/>
      <c r="K137" s="431"/>
      <c r="L137" s="433"/>
      <c r="M137" s="431"/>
      <c r="N137" s="432"/>
      <c r="O137" s="431"/>
      <c r="P137" s="431"/>
      <c r="Q137" s="431"/>
      <c r="R137" s="431"/>
      <c r="S137" s="431"/>
      <c r="T137" s="431"/>
      <c r="U137" s="431"/>
      <c r="V137" s="433"/>
      <c r="W137" s="2"/>
      <c r="X137" s="2"/>
      <c r="Y137" s="2"/>
    </row>
    <row r="138" spans="1:25" ht="18.75" customHeight="1" x14ac:dyDescent="0.2">
      <c r="A138" s="434"/>
      <c r="B138" s="431"/>
      <c r="C138" s="431"/>
      <c r="D138" s="431"/>
      <c r="E138" s="433"/>
      <c r="F138" s="433"/>
      <c r="G138" s="441"/>
      <c r="H138" s="430"/>
      <c r="I138" s="442"/>
      <c r="J138" s="432"/>
      <c r="K138" s="431"/>
      <c r="L138" s="433"/>
      <c r="M138" s="431"/>
      <c r="N138" s="432"/>
      <c r="O138" s="431"/>
      <c r="P138" s="431"/>
      <c r="Q138" s="431"/>
      <c r="R138" s="431"/>
      <c r="S138" s="431"/>
      <c r="T138" s="431"/>
      <c r="U138" s="431"/>
      <c r="V138" s="433"/>
      <c r="W138" s="2"/>
      <c r="X138" s="2"/>
      <c r="Y138" s="2"/>
    </row>
    <row r="139" spans="1:25" ht="18.75" customHeight="1" x14ac:dyDescent="0.2">
      <c r="A139" s="434"/>
      <c r="B139" s="431"/>
      <c r="C139" s="431"/>
      <c r="D139" s="431"/>
      <c r="E139" s="433"/>
      <c r="F139" s="433"/>
      <c r="G139" s="441"/>
      <c r="H139" s="430"/>
      <c r="I139" s="442"/>
      <c r="J139" s="432"/>
      <c r="K139" s="431"/>
      <c r="L139" s="433"/>
      <c r="M139" s="431"/>
      <c r="N139" s="432"/>
      <c r="O139" s="431"/>
      <c r="P139" s="431"/>
      <c r="Q139" s="431"/>
      <c r="R139" s="431"/>
      <c r="S139" s="431"/>
      <c r="T139" s="431"/>
      <c r="U139" s="431"/>
      <c r="V139" s="433"/>
      <c r="W139" s="2"/>
      <c r="X139" s="2"/>
      <c r="Y139" s="2"/>
    </row>
    <row r="140" spans="1:25" ht="18.75" customHeight="1" x14ac:dyDescent="0.2">
      <c r="A140" s="434"/>
      <c r="B140" s="431"/>
      <c r="C140" s="431"/>
      <c r="D140" s="431"/>
      <c r="E140" s="433"/>
      <c r="F140" s="433"/>
      <c r="G140" s="441"/>
      <c r="H140" s="430"/>
      <c r="I140" s="442"/>
      <c r="J140" s="432"/>
      <c r="K140" s="431"/>
      <c r="L140" s="433"/>
      <c r="M140" s="431"/>
      <c r="N140" s="432"/>
      <c r="O140" s="431"/>
      <c r="P140" s="431"/>
      <c r="Q140" s="431"/>
      <c r="R140" s="431"/>
      <c r="S140" s="431"/>
      <c r="T140" s="431"/>
      <c r="U140" s="431"/>
      <c r="V140" s="433"/>
      <c r="W140" s="2"/>
      <c r="X140" s="2"/>
      <c r="Y140" s="2"/>
    </row>
    <row r="141" spans="1:25" ht="18.75" customHeight="1" x14ac:dyDescent="0.2">
      <c r="A141" s="434"/>
      <c r="B141" s="431"/>
      <c r="C141" s="431"/>
      <c r="D141" s="431"/>
      <c r="E141" s="433"/>
      <c r="F141" s="433"/>
      <c r="G141" s="441"/>
      <c r="H141" s="430"/>
      <c r="I141" s="442"/>
      <c r="J141" s="432"/>
      <c r="K141" s="431"/>
      <c r="L141" s="433"/>
      <c r="M141" s="431"/>
      <c r="N141" s="432"/>
      <c r="O141" s="431"/>
      <c r="P141" s="431"/>
      <c r="Q141" s="431"/>
      <c r="R141" s="431"/>
      <c r="S141" s="431"/>
      <c r="T141" s="431"/>
      <c r="U141" s="431"/>
      <c r="V141" s="433"/>
      <c r="W141" s="2"/>
      <c r="X141" s="2"/>
      <c r="Y141" s="2"/>
    </row>
    <row r="142" spans="1:25" ht="18.75" customHeight="1" x14ac:dyDescent="0.2">
      <c r="A142" s="434"/>
      <c r="B142" s="431"/>
      <c r="C142" s="431"/>
      <c r="D142" s="431"/>
      <c r="E142" s="433"/>
      <c r="F142" s="433"/>
      <c r="G142" s="441"/>
      <c r="H142" s="430"/>
      <c r="I142" s="442"/>
      <c r="J142" s="432"/>
      <c r="K142" s="431"/>
      <c r="L142" s="433"/>
      <c r="M142" s="431"/>
      <c r="N142" s="432"/>
      <c r="O142" s="431"/>
      <c r="P142" s="431"/>
      <c r="Q142" s="431"/>
      <c r="R142" s="431"/>
      <c r="S142" s="431"/>
      <c r="T142" s="431"/>
      <c r="U142" s="431"/>
      <c r="V142" s="433"/>
      <c r="W142" s="2"/>
      <c r="X142" s="2"/>
      <c r="Y142" s="2"/>
    </row>
    <row r="143" spans="1:25" ht="18.75" customHeight="1" x14ac:dyDescent="0.2">
      <c r="A143" s="434"/>
      <c r="B143" s="431"/>
      <c r="C143" s="431"/>
      <c r="D143" s="431"/>
      <c r="E143" s="433"/>
      <c r="F143" s="433"/>
      <c r="G143" s="441"/>
      <c r="H143" s="430"/>
      <c r="I143" s="442"/>
      <c r="J143" s="432"/>
      <c r="K143" s="431"/>
      <c r="L143" s="433"/>
      <c r="M143" s="431"/>
      <c r="N143" s="432"/>
      <c r="O143" s="431"/>
      <c r="P143" s="431"/>
      <c r="Q143" s="431"/>
      <c r="R143" s="431"/>
      <c r="S143" s="431"/>
      <c r="T143" s="431"/>
      <c r="U143" s="431"/>
      <c r="V143" s="433"/>
      <c r="W143" s="2"/>
      <c r="X143" s="2"/>
      <c r="Y143" s="2"/>
    </row>
    <row r="144" spans="1:25" ht="18.75" customHeight="1" x14ac:dyDescent="0.2">
      <c r="A144" s="434"/>
      <c r="B144" s="431"/>
      <c r="C144" s="431"/>
      <c r="D144" s="431"/>
      <c r="E144" s="433"/>
      <c r="F144" s="433"/>
      <c r="G144" s="441"/>
      <c r="H144" s="430"/>
      <c r="I144" s="442"/>
      <c r="J144" s="432"/>
      <c r="K144" s="431"/>
      <c r="L144" s="433"/>
      <c r="M144" s="431"/>
      <c r="N144" s="432"/>
      <c r="O144" s="431"/>
      <c r="P144" s="431"/>
      <c r="Q144" s="431"/>
      <c r="R144" s="431"/>
      <c r="S144" s="431"/>
      <c r="T144" s="431"/>
      <c r="U144" s="431"/>
      <c r="V144" s="433"/>
      <c r="W144" s="2"/>
      <c r="X144" s="2"/>
      <c r="Y144" s="2"/>
    </row>
    <row r="145" spans="1:25" ht="18.75" customHeight="1" x14ac:dyDescent="0.2">
      <c r="A145" s="434"/>
      <c r="B145" s="431"/>
      <c r="C145" s="431"/>
      <c r="D145" s="431"/>
      <c r="E145" s="433"/>
      <c r="F145" s="433"/>
      <c r="G145" s="441"/>
      <c r="H145" s="430"/>
      <c r="I145" s="442"/>
      <c r="J145" s="432"/>
      <c r="K145" s="431"/>
      <c r="L145" s="433"/>
      <c r="M145" s="431"/>
      <c r="N145" s="432"/>
      <c r="O145" s="431"/>
      <c r="P145" s="431"/>
      <c r="Q145" s="431"/>
      <c r="R145" s="431"/>
      <c r="S145" s="431"/>
      <c r="T145" s="431"/>
      <c r="U145" s="431"/>
      <c r="V145" s="433"/>
      <c r="W145" s="2"/>
      <c r="X145" s="2"/>
      <c r="Y145" s="2"/>
    </row>
    <row r="146" spans="1:25" ht="18.75" customHeight="1" x14ac:dyDescent="0.2">
      <c r="A146" s="434"/>
      <c r="B146" s="431"/>
      <c r="C146" s="431"/>
      <c r="D146" s="431"/>
      <c r="E146" s="433"/>
      <c r="F146" s="433"/>
      <c r="G146" s="441"/>
      <c r="H146" s="430"/>
      <c r="I146" s="442"/>
      <c r="J146" s="432"/>
      <c r="K146" s="431"/>
      <c r="L146" s="433"/>
      <c r="M146" s="431"/>
      <c r="N146" s="432"/>
      <c r="O146" s="431"/>
      <c r="P146" s="431"/>
      <c r="Q146" s="431"/>
      <c r="R146" s="431"/>
      <c r="S146" s="431"/>
      <c r="T146" s="431"/>
      <c r="U146" s="431"/>
      <c r="V146" s="433"/>
      <c r="W146" s="2"/>
      <c r="X146" s="2"/>
      <c r="Y146" s="2"/>
    </row>
    <row r="147" spans="1:25" ht="18.75" customHeight="1" x14ac:dyDescent="0.2">
      <c r="A147" s="434"/>
      <c r="B147" s="431"/>
      <c r="C147" s="431"/>
      <c r="D147" s="431"/>
      <c r="E147" s="433"/>
      <c r="F147" s="433"/>
      <c r="G147" s="441"/>
      <c r="H147" s="430"/>
      <c r="I147" s="442"/>
      <c r="J147" s="432"/>
      <c r="K147" s="431"/>
      <c r="L147" s="433"/>
      <c r="M147" s="431"/>
      <c r="N147" s="432"/>
      <c r="O147" s="431"/>
      <c r="P147" s="431"/>
      <c r="Q147" s="431"/>
      <c r="R147" s="431"/>
      <c r="S147" s="431"/>
      <c r="T147" s="431"/>
      <c r="U147" s="431"/>
      <c r="V147" s="433"/>
      <c r="W147" s="2"/>
      <c r="X147" s="2"/>
      <c r="Y147" s="2"/>
    </row>
    <row r="148" spans="1:25" ht="18.75" customHeight="1" x14ac:dyDescent="0.2">
      <c r="A148" s="434"/>
      <c r="B148" s="431"/>
      <c r="C148" s="431"/>
      <c r="D148" s="431"/>
      <c r="E148" s="433"/>
      <c r="F148" s="433"/>
      <c r="G148" s="441"/>
      <c r="H148" s="430"/>
      <c r="I148" s="442"/>
      <c r="J148" s="432"/>
      <c r="K148" s="431"/>
      <c r="L148" s="433"/>
      <c r="M148" s="431"/>
      <c r="N148" s="432"/>
      <c r="O148" s="431"/>
      <c r="P148" s="431"/>
      <c r="Q148" s="431"/>
      <c r="R148" s="431"/>
      <c r="S148" s="431"/>
      <c r="T148" s="431"/>
      <c r="U148" s="431"/>
      <c r="V148" s="433"/>
      <c r="W148" s="2"/>
      <c r="X148" s="2"/>
      <c r="Y148" s="2"/>
    </row>
    <row r="149" spans="1:25" ht="18.75" customHeight="1" x14ac:dyDescent="0.2">
      <c r="A149" s="434"/>
      <c r="B149" s="431"/>
      <c r="C149" s="431"/>
      <c r="D149" s="431"/>
      <c r="E149" s="433"/>
      <c r="F149" s="433"/>
      <c r="G149" s="441"/>
      <c r="H149" s="430"/>
      <c r="I149" s="442"/>
      <c r="J149" s="432"/>
      <c r="K149" s="431"/>
      <c r="L149" s="433"/>
      <c r="M149" s="431"/>
      <c r="N149" s="432"/>
      <c r="O149" s="431"/>
      <c r="P149" s="431"/>
      <c r="Q149" s="431"/>
      <c r="R149" s="431"/>
      <c r="S149" s="431"/>
      <c r="T149" s="431"/>
      <c r="U149" s="431"/>
      <c r="V149" s="433"/>
      <c r="W149" s="2"/>
      <c r="X149" s="2"/>
      <c r="Y149" s="2"/>
    </row>
    <row r="150" spans="1:25" ht="18.75" customHeight="1" x14ac:dyDescent="0.2">
      <c r="A150" s="434"/>
      <c r="B150" s="431"/>
      <c r="C150" s="431"/>
      <c r="D150" s="431"/>
      <c r="E150" s="433"/>
      <c r="F150" s="433"/>
      <c r="G150" s="441"/>
      <c r="H150" s="430"/>
      <c r="I150" s="442"/>
      <c r="J150" s="432"/>
      <c r="K150" s="431"/>
      <c r="L150" s="433"/>
      <c r="M150" s="431"/>
      <c r="N150" s="432"/>
      <c r="O150" s="431"/>
      <c r="P150" s="431"/>
      <c r="Q150" s="431"/>
      <c r="R150" s="431"/>
      <c r="S150" s="431"/>
      <c r="T150" s="431"/>
      <c r="U150" s="431"/>
      <c r="V150" s="433"/>
      <c r="W150" s="2"/>
      <c r="X150" s="2"/>
      <c r="Y150" s="2"/>
    </row>
    <row r="151" spans="1:25" ht="18.75" customHeight="1" x14ac:dyDescent="0.2">
      <c r="A151" s="434"/>
      <c r="B151" s="431"/>
      <c r="C151" s="431"/>
      <c r="D151" s="431"/>
      <c r="E151" s="433"/>
      <c r="F151" s="433"/>
      <c r="G151" s="441"/>
      <c r="H151" s="430"/>
      <c r="I151" s="442"/>
      <c r="J151" s="432"/>
      <c r="K151" s="431"/>
      <c r="L151" s="433"/>
      <c r="M151" s="431"/>
      <c r="N151" s="432"/>
      <c r="O151" s="431"/>
      <c r="P151" s="431"/>
      <c r="Q151" s="431"/>
      <c r="R151" s="431"/>
      <c r="S151" s="431"/>
      <c r="T151" s="431"/>
      <c r="U151" s="431"/>
      <c r="V151" s="433"/>
      <c r="W151" s="2"/>
      <c r="X151" s="2"/>
      <c r="Y151" s="2"/>
    </row>
    <row r="152" spans="1:25" ht="18.75" customHeight="1" x14ac:dyDescent="0.2">
      <c r="A152" s="434"/>
      <c r="B152" s="431"/>
      <c r="C152" s="431"/>
      <c r="D152" s="431"/>
      <c r="E152" s="433"/>
      <c r="F152" s="433"/>
      <c r="G152" s="441"/>
      <c r="H152" s="430"/>
      <c r="I152" s="442"/>
      <c r="J152" s="432"/>
      <c r="K152" s="431"/>
      <c r="L152" s="433"/>
      <c r="M152" s="431"/>
      <c r="N152" s="432"/>
      <c r="O152" s="431"/>
      <c r="P152" s="431"/>
      <c r="Q152" s="431"/>
      <c r="R152" s="431"/>
      <c r="S152" s="431"/>
      <c r="T152" s="431"/>
      <c r="U152" s="431"/>
      <c r="V152" s="433"/>
      <c r="W152" s="2"/>
      <c r="X152" s="2"/>
      <c r="Y152" s="2"/>
    </row>
    <row r="153" spans="1:25" ht="18.75" customHeight="1" x14ac:dyDescent="0.2">
      <c r="A153" s="434"/>
      <c r="B153" s="431"/>
      <c r="C153" s="431"/>
      <c r="D153" s="431"/>
      <c r="E153" s="433"/>
      <c r="F153" s="433"/>
      <c r="G153" s="441"/>
      <c r="H153" s="430"/>
      <c r="I153" s="442"/>
      <c r="J153" s="432"/>
      <c r="K153" s="431"/>
      <c r="L153" s="433"/>
      <c r="M153" s="431"/>
      <c r="N153" s="432"/>
      <c r="O153" s="431"/>
      <c r="P153" s="431"/>
      <c r="Q153" s="431"/>
      <c r="R153" s="431"/>
      <c r="S153" s="431"/>
      <c r="T153" s="431"/>
      <c r="U153" s="431"/>
      <c r="V153" s="433"/>
      <c r="W153" s="2"/>
      <c r="X153" s="2"/>
      <c r="Y153" s="2"/>
    </row>
    <row r="154" spans="1:25" ht="18.75" customHeight="1" x14ac:dyDescent="0.2">
      <c r="A154" s="434"/>
      <c r="B154" s="431"/>
      <c r="C154" s="431"/>
      <c r="D154" s="431"/>
      <c r="E154" s="433"/>
      <c r="F154" s="433"/>
      <c r="G154" s="441"/>
      <c r="H154" s="430"/>
      <c r="I154" s="442"/>
      <c r="J154" s="432"/>
      <c r="K154" s="431"/>
      <c r="L154" s="433"/>
      <c r="M154" s="431"/>
      <c r="N154" s="432"/>
      <c r="O154" s="431"/>
      <c r="P154" s="431"/>
      <c r="Q154" s="431"/>
      <c r="R154" s="431"/>
      <c r="S154" s="431"/>
      <c r="T154" s="431"/>
      <c r="U154" s="431"/>
      <c r="V154" s="433"/>
      <c r="W154" s="2"/>
      <c r="X154" s="2"/>
      <c r="Y154" s="2"/>
    </row>
    <row r="155" spans="1:25" ht="18.75" customHeight="1" x14ac:dyDescent="0.2">
      <c r="A155" s="434"/>
      <c r="B155" s="431"/>
      <c r="C155" s="431"/>
      <c r="D155" s="431"/>
      <c r="E155" s="433"/>
      <c r="F155" s="433"/>
      <c r="G155" s="441"/>
      <c r="H155" s="430"/>
      <c r="I155" s="442"/>
      <c r="J155" s="432"/>
      <c r="K155" s="431"/>
      <c r="L155" s="433"/>
      <c r="M155" s="431"/>
      <c r="N155" s="432"/>
      <c r="O155" s="431"/>
      <c r="P155" s="431"/>
      <c r="Q155" s="431"/>
      <c r="R155" s="431"/>
      <c r="S155" s="431"/>
      <c r="T155" s="431"/>
      <c r="U155" s="431"/>
      <c r="V155" s="433"/>
      <c r="W155" s="2"/>
      <c r="X155" s="2"/>
      <c r="Y155" s="2"/>
    </row>
    <row r="156" spans="1:25" ht="18.75" customHeight="1" x14ac:dyDescent="0.2">
      <c r="A156" s="434"/>
      <c r="B156" s="431"/>
      <c r="C156" s="431"/>
      <c r="D156" s="431"/>
      <c r="E156" s="433"/>
      <c r="F156" s="433"/>
      <c r="G156" s="441"/>
      <c r="H156" s="430"/>
      <c r="I156" s="442"/>
      <c r="J156" s="432"/>
      <c r="K156" s="431"/>
      <c r="L156" s="433"/>
      <c r="M156" s="431"/>
      <c r="N156" s="432"/>
      <c r="O156" s="431"/>
      <c r="P156" s="431"/>
      <c r="Q156" s="431"/>
      <c r="R156" s="431"/>
      <c r="S156" s="431"/>
      <c r="T156" s="431"/>
      <c r="U156" s="431"/>
      <c r="V156" s="433"/>
      <c r="W156" s="2"/>
      <c r="X156" s="2"/>
      <c r="Y156" s="2"/>
    </row>
    <row r="157" spans="1:25" ht="18.75" customHeight="1" x14ac:dyDescent="0.2">
      <c r="A157" s="434"/>
      <c r="B157" s="431"/>
      <c r="C157" s="431"/>
      <c r="D157" s="431"/>
      <c r="E157" s="433"/>
      <c r="F157" s="433"/>
      <c r="G157" s="441"/>
      <c r="H157" s="430"/>
      <c r="I157" s="442"/>
      <c r="J157" s="432"/>
      <c r="K157" s="431"/>
      <c r="L157" s="433"/>
      <c r="M157" s="431"/>
      <c r="N157" s="432"/>
      <c r="O157" s="431"/>
      <c r="P157" s="431"/>
      <c r="Q157" s="431"/>
      <c r="R157" s="431"/>
      <c r="S157" s="431"/>
      <c r="T157" s="431"/>
      <c r="U157" s="431"/>
      <c r="V157" s="433"/>
      <c r="W157" s="2"/>
      <c r="X157" s="2"/>
      <c r="Y157" s="2"/>
    </row>
    <row r="158" spans="1:25" ht="18.75" customHeight="1" x14ac:dyDescent="0.2">
      <c r="A158" s="434"/>
      <c r="B158" s="431"/>
      <c r="C158" s="431"/>
      <c r="D158" s="431"/>
      <c r="E158" s="433"/>
      <c r="F158" s="433"/>
      <c r="G158" s="441"/>
      <c r="H158" s="430"/>
      <c r="I158" s="442"/>
      <c r="J158" s="432"/>
      <c r="K158" s="431"/>
      <c r="L158" s="433"/>
      <c r="M158" s="431"/>
      <c r="N158" s="432"/>
      <c r="O158" s="431"/>
      <c r="P158" s="431"/>
      <c r="Q158" s="431"/>
      <c r="R158" s="431"/>
      <c r="S158" s="431"/>
      <c r="T158" s="431"/>
      <c r="U158" s="431"/>
      <c r="V158" s="433"/>
      <c r="W158" s="2"/>
      <c r="X158" s="2"/>
      <c r="Y158" s="2"/>
    </row>
    <row r="159" spans="1:25" ht="18.75" customHeight="1" x14ac:dyDescent="0.2">
      <c r="A159" s="434"/>
      <c r="B159" s="431"/>
      <c r="C159" s="431"/>
      <c r="D159" s="431"/>
      <c r="E159" s="433"/>
      <c r="F159" s="433"/>
      <c r="G159" s="441"/>
      <c r="H159" s="430"/>
      <c r="I159" s="442"/>
      <c r="J159" s="432"/>
      <c r="K159" s="431"/>
      <c r="L159" s="433"/>
      <c r="M159" s="431"/>
      <c r="N159" s="432"/>
      <c r="O159" s="431"/>
      <c r="P159" s="431"/>
      <c r="Q159" s="431"/>
      <c r="R159" s="431"/>
      <c r="S159" s="431"/>
      <c r="T159" s="431"/>
      <c r="U159" s="431"/>
      <c r="V159" s="433"/>
      <c r="W159" s="2"/>
      <c r="X159" s="2"/>
      <c r="Y159" s="2"/>
    </row>
    <row r="160" spans="1:25" ht="18.75" customHeight="1" x14ac:dyDescent="0.2">
      <c r="A160" s="434"/>
      <c r="B160" s="431"/>
      <c r="C160" s="431"/>
      <c r="D160" s="431"/>
      <c r="E160" s="433"/>
      <c r="F160" s="433"/>
      <c r="G160" s="441"/>
      <c r="H160" s="430"/>
      <c r="I160" s="442"/>
      <c r="J160" s="432"/>
      <c r="K160" s="431"/>
      <c r="L160" s="433"/>
      <c r="M160" s="431"/>
      <c r="N160" s="432"/>
      <c r="O160" s="431"/>
      <c r="P160" s="431"/>
      <c r="Q160" s="431"/>
      <c r="R160" s="431"/>
      <c r="S160" s="431"/>
      <c r="T160" s="431"/>
      <c r="U160" s="431"/>
      <c r="V160" s="433"/>
      <c r="W160" s="2"/>
      <c r="X160" s="2"/>
      <c r="Y160" s="2"/>
    </row>
    <row r="161" spans="1:25" ht="18.75" customHeight="1" x14ac:dyDescent="0.2">
      <c r="A161" s="434"/>
      <c r="B161" s="431"/>
      <c r="C161" s="431"/>
      <c r="D161" s="431"/>
      <c r="E161" s="433"/>
      <c r="F161" s="433"/>
      <c r="G161" s="441"/>
      <c r="H161" s="430"/>
      <c r="I161" s="442"/>
      <c r="J161" s="432"/>
      <c r="K161" s="431"/>
      <c r="L161" s="433"/>
      <c r="M161" s="431"/>
      <c r="N161" s="432"/>
      <c r="O161" s="431"/>
      <c r="P161" s="431"/>
      <c r="Q161" s="431"/>
      <c r="R161" s="431"/>
      <c r="S161" s="431"/>
      <c r="T161" s="431"/>
      <c r="U161" s="431"/>
      <c r="V161" s="433"/>
      <c r="W161" s="2"/>
      <c r="X161" s="2"/>
      <c r="Y161" s="2"/>
    </row>
    <row r="162" spans="1:25" ht="18.75" customHeight="1" x14ac:dyDescent="0.2">
      <c r="A162" s="434"/>
      <c r="B162" s="431"/>
      <c r="C162" s="431"/>
      <c r="D162" s="431"/>
      <c r="E162" s="433"/>
      <c r="F162" s="433"/>
      <c r="G162" s="441"/>
      <c r="H162" s="430"/>
      <c r="I162" s="442"/>
      <c r="J162" s="432"/>
      <c r="K162" s="431"/>
      <c r="L162" s="433"/>
      <c r="M162" s="431"/>
      <c r="N162" s="432"/>
      <c r="O162" s="431"/>
      <c r="P162" s="431"/>
      <c r="Q162" s="431"/>
      <c r="R162" s="431"/>
      <c r="S162" s="431"/>
      <c r="T162" s="431"/>
      <c r="U162" s="431"/>
      <c r="V162" s="433"/>
      <c r="W162" s="2"/>
      <c r="X162" s="2"/>
      <c r="Y162" s="2"/>
    </row>
    <row r="163" spans="1:25" ht="18.75" customHeight="1" x14ac:dyDescent="0.2">
      <c r="A163" s="434"/>
      <c r="B163" s="431"/>
      <c r="C163" s="431"/>
      <c r="D163" s="431"/>
      <c r="E163" s="433"/>
      <c r="F163" s="433"/>
      <c r="G163" s="441"/>
      <c r="H163" s="430"/>
      <c r="I163" s="442"/>
      <c r="J163" s="432"/>
      <c r="K163" s="431"/>
      <c r="L163" s="433"/>
      <c r="M163" s="431"/>
      <c r="N163" s="432"/>
      <c r="O163" s="431"/>
      <c r="P163" s="431"/>
      <c r="Q163" s="431"/>
      <c r="R163" s="431"/>
      <c r="S163" s="431"/>
      <c r="T163" s="431"/>
      <c r="U163" s="431"/>
      <c r="V163" s="433"/>
      <c r="W163" s="2"/>
      <c r="X163" s="2"/>
      <c r="Y163" s="2"/>
    </row>
    <row r="164" spans="1:25" ht="18.75" customHeight="1" x14ac:dyDescent="0.2">
      <c r="A164" s="434"/>
      <c r="B164" s="431"/>
      <c r="C164" s="431"/>
      <c r="D164" s="431"/>
      <c r="E164" s="433"/>
      <c r="F164" s="433"/>
      <c r="G164" s="441"/>
      <c r="H164" s="430"/>
      <c r="I164" s="442"/>
      <c r="J164" s="432"/>
      <c r="K164" s="431"/>
      <c r="L164" s="433"/>
      <c r="M164" s="431"/>
      <c r="N164" s="432"/>
      <c r="O164" s="431"/>
      <c r="P164" s="431"/>
      <c r="Q164" s="431"/>
      <c r="R164" s="431"/>
      <c r="S164" s="431"/>
      <c r="T164" s="431"/>
      <c r="U164" s="431"/>
      <c r="V164" s="433"/>
      <c r="W164" s="2"/>
      <c r="X164" s="2"/>
      <c r="Y164" s="2"/>
    </row>
    <row r="165" spans="1:25" ht="18.75" customHeight="1" x14ac:dyDescent="0.2">
      <c r="A165" s="434"/>
      <c r="B165" s="431"/>
      <c r="C165" s="431"/>
      <c r="D165" s="431"/>
      <c r="E165" s="433"/>
      <c r="F165" s="433"/>
      <c r="G165" s="441"/>
      <c r="H165" s="430"/>
      <c r="I165" s="442"/>
      <c r="J165" s="432"/>
      <c r="K165" s="431"/>
      <c r="L165" s="433"/>
      <c r="M165" s="431"/>
      <c r="N165" s="432"/>
      <c r="O165" s="431"/>
      <c r="P165" s="431"/>
      <c r="Q165" s="431"/>
      <c r="R165" s="431"/>
      <c r="S165" s="431"/>
      <c r="T165" s="431"/>
      <c r="U165" s="431"/>
      <c r="V165" s="433"/>
      <c r="W165" s="2"/>
      <c r="X165" s="2"/>
      <c r="Y165" s="2"/>
    </row>
    <row r="166" spans="1:25" ht="18.75" customHeight="1" x14ac:dyDescent="0.2">
      <c r="A166" s="434"/>
      <c r="B166" s="431"/>
      <c r="C166" s="431"/>
      <c r="D166" s="431"/>
      <c r="E166" s="433"/>
      <c r="F166" s="433"/>
      <c r="G166" s="441"/>
      <c r="H166" s="430"/>
      <c r="I166" s="442"/>
      <c r="J166" s="432"/>
      <c r="K166" s="431"/>
      <c r="L166" s="433"/>
      <c r="M166" s="431"/>
      <c r="N166" s="432"/>
      <c r="O166" s="431"/>
      <c r="P166" s="431"/>
      <c r="Q166" s="431"/>
      <c r="R166" s="431"/>
      <c r="S166" s="431"/>
      <c r="T166" s="431"/>
      <c r="U166" s="431"/>
      <c r="V166" s="433"/>
      <c r="W166" s="2"/>
      <c r="X166" s="2"/>
      <c r="Y166" s="2"/>
    </row>
    <row r="167" spans="1:25" ht="18.75" customHeight="1" x14ac:dyDescent="0.2">
      <c r="A167" s="434"/>
      <c r="B167" s="431"/>
      <c r="C167" s="431"/>
      <c r="D167" s="431"/>
      <c r="E167" s="433"/>
      <c r="F167" s="433"/>
      <c r="G167" s="441"/>
      <c r="H167" s="430"/>
      <c r="I167" s="442"/>
      <c r="J167" s="432"/>
      <c r="K167" s="431"/>
      <c r="L167" s="433"/>
      <c r="M167" s="431"/>
      <c r="N167" s="432"/>
      <c r="O167" s="431"/>
      <c r="P167" s="431"/>
      <c r="Q167" s="431"/>
      <c r="R167" s="431"/>
      <c r="S167" s="431"/>
      <c r="T167" s="431"/>
      <c r="U167" s="431"/>
      <c r="V167" s="433"/>
      <c r="W167" s="2"/>
      <c r="X167" s="2"/>
      <c r="Y167" s="2"/>
    </row>
    <row r="168" spans="1:25" ht="18.75" customHeight="1" x14ac:dyDescent="0.2">
      <c r="A168" s="434"/>
      <c r="B168" s="431"/>
      <c r="C168" s="431"/>
      <c r="D168" s="431"/>
      <c r="E168" s="433"/>
      <c r="F168" s="433"/>
      <c r="G168" s="441"/>
      <c r="H168" s="430"/>
      <c r="I168" s="442"/>
      <c r="J168" s="432"/>
      <c r="K168" s="431"/>
      <c r="L168" s="433"/>
      <c r="M168" s="431"/>
      <c r="N168" s="432"/>
      <c r="O168" s="431"/>
      <c r="P168" s="431"/>
      <c r="Q168" s="431"/>
      <c r="R168" s="431"/>
      <c r="S168" s="431"/>
      <c r="T168" s="431"/>
      <c r="U168" s="431"/>
      <c r="V168" s="433"/>
      <c r="W168" s="2"/>
      <c r="X168" s="2"/>
      <c r="Y168" s="2"/>
    </row>
    <row r="169" spans="1:25" ht="18.75" customHeight="1" x14ac:dyDescent="0.2">
      <c r="A169" s="434"/>
      <c r="B169" s="431"/>
      <c r="C169" s="431"/>
      <c r="D169" s="431"/>
      <c r="E169" s="433"/>
      <c r="F169" s="433"/>
      <c r="G169" s="441"/>
      <c r="H169" s="430"/>
      <c r="I169" s="442"/>
      <c r="J169" s="432"/>
      <c r="K169" s="431"/>
      <c r="L169" s="433"/>
      <c r="M169" s="431"/>
      <c r="N169" s="432"/>
      <c r="O169" s="431"/>
      <c r="P169" s="431"/>
      <c r="Q169" s="431"/>
      <c r="R169" s="431"/>
      <c r="S169" s="431"/>
      <c r="T169" s="431"/>
      <c r="U169" s="431"/>
      <c r="V169" s="433"/>
      <c r="W169" s="2"/>
      <c r="X169" s="2"/>
      <c r="Y169" s="2"/>
    </row>
    <row r="170" spans="1:25" ht="18.75" customHeight="1" x14ac:dyDescent="0.2">
      <c r="A170" s="434"/>
      <c r="B170" s="431"/>
      <c r="C170" s="431"/>
      <c r="D170" s="431"/>
      <c r="E170" s="433"/>
      <c r="F170" s="433"/>
      <c r="G170" s="441"/>
      <c r="H170" s="430"/>
      <c r="I170" s="442"/>
      <c r="J170" s="432"/>
      <c r="K170" s="431"/>
      <c r="L170" s="433"/>
      <c r="M170" s="431"/>
      <c r="N170" s="432"/>
      <c r="O170" s="431"/>
      <c r="P170" s="431"/>
      <c r="Q170" s="431"/>
      <c r="R170" s="431"/>
      <c r="S170" s="431"/>
      <c r="T170" s="431"/>
      <c r="U170" s="431"/>
      <c r="V170" s="433"/>
      <c r="W170" s="2"/>
      <c r="X170" s="2"/>
      <c r="Y170" s="2"/>
    </row>
    <row r="171" spans="1:25" ht="18.75" customHeight="1" x14ac:dyDescent="0.2">
      <c r="A171" s="434"/>
      <c r="B171" s="431"/>
      <c r="C171" s="431"/>
      <c r="D171" s="431"/>
      <c r="E171" s="433"/>
      <c r="F171" s="433"/>
      <c r="G171" s="441"/>
      <c r="H171" s="430"/>
      <c r="I171" s="442"/>
      <c r="J171" s="432"/>
      <c r="K171" s="431"/>
      <c r="L171" s="433"/>
      <c r="M171" s="431"/>
      <c r="N171" s="432"/>
      <c r="O171" s="431"/>
      <c r="P171" s="431"/>
      <c r="Q171" s="431"/>
      <c r="R171" s="431"/>
      <c r="S171" s="431"/>
      <c r="T171" s="431"/>
      <c r="U171" s="431"/>
      <c r="V171" s="433"/>
      <c r="W171" s="2"/>
      <c r="X171" s="2"/>
      <c r="Y171" s="2"/>
    </row>
    <row r="172" spans="1:25" ht="18.75" customHeight="1" x14ac:dyDescent="0.2">
      <c r="A172" s="434"/>
      <c r="B172" s="431"/>
      <c r="C172" s="431"/>
      <c r="D172" s="431"/>
      <c r="E172" s="433"/>
      <c r="F172" s="433"/>
      <c r="G172" s="441"/>
      <c r="H172" s="430"/>
      <c r="I172" s="442"/>
      <c r="J172" s="432"/>
      <c r="K172" s="431"/>
      <c r="L172" s="433"/>
      <c r="M172" s="431"/>
      <c r="N172" s="432"/>
      <c r="O172" s="431"/>
      <c r="P172" s="431"/>
      <c r="Q172" s="431"/>
      <c r="R172" s="431"/>
      <c r="S172" s="431"/>
      <c r="T172" s="431"/>
      <c r="U172" s="431"/>
      <c r="V172" s="433"/>
      <c r="W172" s="2"/>
      <c r="X172" s="2"/>
      <c r="Y172" s="2"/>
    </row>
    <row r="173" spans="1:25" ht="18.75" customHeight="1" x14ac:dyDescent="0.2">
      <c r="A173" s="434"/>
      <c r="B173" s="431"/>
      <c r="C173" s="431"/>
      <c r="D173" s="431"/>
      <c r="E173" s="433"/>
      <c r="F173" s="433"/>
      <c r="G173" s="441"/>
      <c r="H173" s="430"/>
      <c r="I173" s="442"/>
      <c r="J173" s="432"/>
      <c r="K173" s="431"/>
      <c r="L173" s="433"/>
      <c r="M173" s="431"/>
      <c r="N173" s="432"/>
      <c r="O173" s="431"/>
      <c r="P173" s="431"/>
      <c r="Q173" s="431"/>
      <c r="R173" s="431"/>
      <c r="S173" s="431"/>
      <c r="T173" s="431"/>
      <c r="U173" s="431"/>
      <c r="V173" s="433"/>
      <c r="W173" s="2"/>
      <c r="X173" s="2"/>
      <c r="Y173" s="2"/>
    </row>
    <row r="174" spans="1:25" ht="18.75" customHeight="1" x14ac:dyDescent="0.2">
      <c r="A174" s="434"/>
      <c r="B174" s="431"/>
      <c r="C174" s="431"/>
      <c r="D174" s="431"/>
      <c r="E174" s="433"/>
      <c r="F174" s="433"/>
      <c r="G174" s="441"/>
      <c r="H174" s="430"/>
      <c r="I174" s="442"/>
      <c r="J174" s="432"/>
      <c r="K174" s="431"/>
      <c r="L174" s="433"/>
      <c r="M174" s="431"/>
      <c r="N174" s="432"/>
      <c r="O174" s="431"/>
      <c r="P174" s="431"/>
      <c r="Q174" s="431"/>
      <c r="R174" s="431"/>
      <c r="S174" s="431"/>
      <c r="T174" s="431"/>
      <c r="U174" s="431"/>
      <c r="V174" s="433"/>
      <c r="W174" s="2"/>
      <c r="X174" s="2"/>
      <c r="Y174" s="2"/>
    </row>
    <row r="175" spans="1:25" ht="18.75" customHeight="1" x14ac:dyDescent="0.2">
      <c r="A175" s="434"/>
      <c r="B175" s="431"/>
      <c r="C175" s="431"/>
      <c r="D175" s="431"/>
      <c r="E175" s="433"/>
      <c r="F175" s="433"/>
      <c r="G175" s="441"/>
      <c r="H175" s="430"/>
      <c r="I175" s="442"/>
      <c r="J175" s="432"/>
      <c r="K175" s="431"/>
      <c r="L175" s="433"/>
      <c r="M175" s="431"/>
      <c r="N175" s="432"/>
      <c r="O175" s="431"/>
      <c r="P175" s="431"/>
      <c r="Q175" s="431"/>
      <c r="R175" s="431"/>
      <c r="S175" s="431"/>
      <c r="T175" s="431"/>
      <c r="U175" s="431"/>
      <c r="V175" s="433"/>
      <c r="W175" s="2"/>
      <c r="X175" s="2"/>
      <c r="Y175" s="2"/>
    </row>
    <row r="176" spans="1:25" ht="18.75" customHeight="1" x14ac:dyDescent="0.2">
      <c r="A176" s="434"/>
      <c r="B176" s="431"/>
      <c r="C176" s="431"/>
      <c r="D176" s="431"/>
      <c r="E176" s="433"/>
      <c r="F176" s="433"/>
      <c r="G176" s="441"/>
      <c r="H176" s="430"/>
      <c r="I176" s="442"/>
      <c r="J176" s="432"/>
      <c r="K176" s="431"/>
      <c r="L176" s="433"/>
      <c r="M176" s="431"/>
      <c r="N176" s="432"/>
      <c r="O176" s="431"/>
      <c r="P176" s="431"/>
      <c r="Q176" s="431"/>
      <c r="R176" s="431"/>
      <c r="S176" s="431"/>
      <c r="T176" s="431"/>
      <c r="U176" s="431"/>
      <c r="V176" s="433"/>
      <c r="W176" s="2"/>
      <c r="X176" s="2"/>
      <c r="Y176" s="2"/>
    </row>
    <row r="177" spans="1:25" ht="18.75" customHeight="1" x14ac:dyDescent="0.2">
      <c r="A177" s="434"/>
      <c r="B177" s="431"/>
      <c r="C177" s="431"/>
      <c r="D177" s="431"/>
      <c r="E177" s="433"/>
      <c r="F177" s="433"/>
      <c r="G177" s="441"/>
      <c r="H177" s="430"/>
      <c r="I177" s="442"/>
      <c r="J177" s="432"/>
      <c r="K177" s="431"/>
      <c r="L177" s="433"/>
      <c r="M177" s="431"/>
      <c r="N177" s="432"/>
      <c r="O177" s="431"/>
      <c r="P177" s="431"/>
      <c r="Q177" s="431"/>
      <c r="R177" s="431"/>
      <c r="S177" s="431"/>
      <c r="T177" s="431"/>
      <c r="U177" s="431"/>
      <c r="V177" s="433"/>
      <c r="W177" s="2"/>
      <c r="X177" s="2"/>
      <c r="Y177" s="2"/>
    </row>
    <row r="178" spans="1:25" ht="18.75" customHeight="1" x14ac:dyDescent="0.2">
      <c r="A178" s="434"/>
      <c r="B178" s="431"/>
      <c r="C178" s="431"/>
      <c r="D178" s="431"/>
      <c r="E178" s="433"/>
      <c r="F178" s="433"/>
      <c r="G178" s="441"/>
      <c r="H178" s="430"/>
      <c r="I178" s="442"/>
      <c r="J178" s="432"/>
      <c r="K178" s="431"/>
      <c r="L178" s="433"/>
      <c r="M178" s="431"/>
      <c r="N178" s="432"/>
      <c r="O178" s="431"/>
      <c r="P178" s="431"/>
      <c r="Q178" s="431"/>
      <c r="R178" s="431"/>
      <c r="S178" s="431"/>
      <c r="T178" s="431"/>
      <c r="U178" s="431"/>
      <c r="V178" s="433"/>
      <c r="W178" s="2"/>
      <c r="X178" s="2"/>
      <c r="Y178" s="2"/>
    </row>
    <row r="179" spans="1:25" ht="18.75" customHeight="1" x14ac:dyDescent="0.2">
      <c r="A179" s="434"/>
      <c r="B179" s="431"/>
      <c r="C179" s="431"/>
      <c r="D179" s="431"/>
      <c r="E179" s="433"/>
      <c r="F179" s="433"/>
      <c r="G179" s="441"/>
      <c r="H179" s="430"/>
      <c r="I179" s="442"/>
      <c r="J179" s="432"/>
      <c r="K179" s="431"/>
      <c r="L179" s="433"/>
      <c r="M179" s="431"/>
      <c r="N179" s="432"/>
      <c r="O179" s="431"/>
      <c r="P179" s="431"/>
      <c r="Q179" s="431"/>
      <c r="R179" s="431"/>
      <c r="S179" s="431"/>
      <c r="T179" s="431"/>
      <c r="U179" s="431"/>
      <c r="V179" s="433"/>
      <c r="W179" s="2"/>
      <c r="X179" s="2"/>
      <c r="Y179" s="2"/>
    </row>
    <row r="180" spans="1:25" ht="18.75" customHeight="1" x14ac:dyDescent="0.2">
      <c r="A180" s="434"/>
      <c r="B180" s="431"/>
      <c r="C180" s="431"/>
      <c r="D180" s="431"/>
      <c r="E180" s="433"/>
      <c r="F180" s="433"/>
      <c r="G180" s="441"/>
      <c r="H180" s="430"/>
      <c r="I180" s="442"/>
      <c r="J180" s="432"/>
      <c r="K180" s="431"/>
      <c r="L180" s="433"/>
      <c r="M180" s="431"/>
      <c r="N180" s="432"/>
      <c r="O180" s="431"/>
      <c r="P180" s="431"/>
      <c r="Q180" s="431"/>
      <c r="R180" s="431"/>
      <c r="S180" s="431"/>
      <c r="T180" s="431"/>
      <c r="U180" s="431"/>
      <c r="V180" s="433"/>
      <c r="W180" s="2"/>
      <c r="X180" s="2"/>
      <c r="Y180" s="2"/>
    </row>
    <row r="181" spans="1:25" ht="18.75" customHeight="1" x14ac:dyDescent="0.2">
      <c r="A181" s="434"/>
      <c r="B181" s="431"/>
      <c r="C181" s="431"/>
      <c r="D181" s="431"/>
      <c r="E181" s="433"/>
      <c r="F181" s="433"/>
      <c r="G181" s="441"/>
      <c r="H181" s="430"/>
      <c r="I181" s="442"/>
      <c r="J181" s="432"/>
      <c r="K181" s="431"/>
      <c r="L181" s="433"/>
      <c r="M181" s="431"/>
      <c r="N181" s="432"/>
      <c r="O181" s="431"/>
      <c r="P181" s="431"/>
      <c r="Q181" s="431"/>
      <c r="R181" s="431"/>
      <c r="S181" s="431"/>
      <c r="T181" s="431"/>
      <c r="U181" s="431"/>
      <c r="V181" s="433"/>
      <c r="W181" s="2"/>
      <c r="X181" s="2"/>
      <c r="Y181" s="2"/>
    </row>
    <row r="182" spans="1:25" ht="18.75" customHeight="1" x14ac:dyDescent="0.2">
      <c r="A182" s="434"/>
      <c r="B182" s="431"/>
      <c r="C182" s="431"/>
      <c r="D182" s="431"/>
      <c r="E182" s="433"/>
      <c r="F182" s="433"/>
      <c r="G182" s="441"/>
      <c r="H182" s="430"/>
      <c r="I182" s="442"/>
      <c r="J182" s="432"/>
      <c r="K182" s="431"/>
      <c r="L182" s="433"/>
      <c r="M182" s="431"/>
      <c r="N182" s="432"/>
      <c r="O182" s="431"/>
      <c r="P182" s="431"/>
      <c r="Q182" s="431"/>
      <c r="R182" s="431"/>
      <c r="S182" s="431"/>
      <c r="T182" s="431"/>
      <c r="U182" s="431"/>
      <c r="V182" s="433"/>
      <c r="W182" s="2"/>
      <c r="X182" s="2"/>
      <c r="Y182" s="2"/>
    </row>
    <row r="183" spans="1:25" ht="18.75" customHeight="1" x14ac:dyDescent="0.2">
      <c r="A183" s="434"/>
      <c r="B183" s="431"/>
      <c r="C183" s="431"/>
      <c r="D183" s="431"/>
      <c r="E183" s="433"/>
      <c r="F183" s="433"/>
      <c r="G183" s="441"/>
      <c r="H183" s="430"/>
      <c r="I183" s="442"/>
      <c r="J183" s="432"/>
      <c r="K183" s="431"/>
      <c r="L183" s="433"/>
      <c r="M183" s="431"/>
      <c r="N183" s="432"/>
      <c r="O183" s="431"/>
      <c r="P183" s="431"/>
      <c r="Q183" s="431"/>
      <c r="R183" s="431"/>
      <c r="S183" s="431"/>
      <c r="T183" s="431"/>
      <c r="U183" s="431"/>
      <c r="V183" s="433"/>
      <c r="W183" s="2"/>
      <c r="X183" s="2"/>
      <c r="Y183" s="2"/>
    </row>
    <row r="184" spans="1:25" ht="18.75" customHeight="1" x14ac:dyDescent="0.2">
      <c r="A184" s="434"/>
      <c r="B184" s="431"/>
      <c r="C184" s="431"/>
      <c r="D184" s="431"/>
      <c r="E184" s="433"/>
      <c r="F184" s="433"/>
      <c r="G184" s="441"/>
      <c r="H184" s="430"/>
      <c r="I184" s="442"/>
      <c r="J184" s="432"/>
      <c r="K184" s="431"/>
      <c r="L184" s="433"/>
      <c r="M184" s="431"/>
      <c r="N184" s="432"/>
      <c r="O184" s="431"/>
      <c r="P184" s="431"/>
      <c r="Q184" s="431"/>
      <c r="R184" s="431"/>
      <c r="S184" s="431"/>
      <c r="T184" s="431"/>
      <c r="U184" s="431"/>
      <c r="V184" s="433"/>
      <c r="W184" s="2"/>
      <c r="X184" s="2"/>
      <c r="Y184" s="2"/>
    </row>
    <row r="185" spans="1:25" ht="18.75" customHeight="1" x14ac:dyDescent="0.2">
      <c r="A185" s="434"/>
      <c r="B185" s="431"/>
      <c r="C185" s="431"/>
      <c r="D185" s="431"/>
      <c r="E185" s="433"/>
      <c r="F185" s="433"/>
      <c r="G185" s="441"/>
      <c r="H185" s="430"/>
      <c r="I185" s="442"/>
      <c r="J185" s="432"/>
      <c r="K185" s="431"/>
      <c r="L185" s="433"/>
      <c r="M185" s="431"/>
      <c r="N185" s="432"/>
      <c r="O185" s="431"/>
      <c r="P185" s="431"/>
      <c r="Q185" s="431"/>
      <c r="R185" s="431"/>
      <c r="S185" s="431"/>
      <c r="T185" s="431"/>
      <c r="U185" s="431"/>
      <c r="V185" s="433"/>
      <c r="W185" s="2"/>
      <c r="X185" s="2"/>
      <c r="Y185" s="2"/>
    </row>
    <row r="186" spans="1:25" ht="18.75" customHeight="1" x14ac:dyDescent="0.2">
      <c r="A186" s="434"/>
      <c r="B186" s="431"/>
      <c r="C186" s="431"/>
      <c r="D186" s="431"/>
      <c r="E186" s="433"/>
      <c r="F186" s="433"/>
      <c r="G186" s="441"/>
      <c r="H186" s="430"/>
      <c r="I186" s="442"/>
      <c r="J186" s="432"/>
      <c r="K186" s="431"/>
      <c r="L186" s="433"/>
      <c r="M186" s="431"/>
      <c r="N186" s="432"/>
      <c r="O186" s="431"/>
      <c r="P186" s="431"/>
      <c r="Q186" s="431"/>
      <c r="R186" s="431"/>
      <c r="S186" s="431"/>
      <c r="T186" s="431"/>
      <c r="U186" s="431"/>
      <c r="V186" s="433"/>
      <c r="W186" s="2"/>
      <c r="X186" s="2"/>
      <c r="Y186" s="2"/>
    </row>
    <row r="187" spans="1:25" ht="18.75" customHeight="1" x14ac:dyDescent="0.2">
      <c r="A187" s="434"/>
      <c r="B187" s="431"/>
      <c r="C187" s="431"/>
      <c r="D187" s="431"/>
      <c r="E187" s="433"/>
      <c r="F187" s="433"/>
      <c r="G187" s="441"/>
      <c r="H187" s="430"/>
      <c r="I187" s="442"/>
      <c r="J187" s="432"/>
      <c r="K187" s="431"/>
      <c r="L187" s="433"/>
      <c r="M187" s="431"/>
      <c r="N187" s="432"/>
      <c r="O187" s="431"/>
      <c r="P187" s="431"/>
      <c r="Q187" s="431"/>
      <c r="R187" s="431"/>
      <c r="S187" s="431"/>
      <c r="T187" s="431"/>
      <c r="U187" s="431"/>
      <c r="V187" s="433"/>
      <c r="W187" s="2"/>
      <c r="X187" s="2"/>
      <c r="Y187" s="2"/>
    </row>
    <row r="188" spans="1:25" ht="18.75" customHeight="1" x14ac:dyDescent="0.2">
      <c r="A188" s="434"/>
      <c r="B188" s="431"/>
      <c r="C188" s="431"/>
      <c r="D188" s="431"/>
      <c r="E188" s="433"/>
      <c r="F188" s="433"/>
      <c r="G188" s="441"/>
      <c r="H188" s="430"/>
      <c r="I188" s="442"/>
      <c r="J188" s="432"/>
      <c r="K188" s="431"/>
      <c r="L188" s="433"/>
      <c r="M188" s="431"/>
      <c r="N188" s="432"/>
      <c r="O188" s="431"/>
      <c r="P188" s="431"/>
      <c r="Q188" s="431"/>
      <c r="R188" s="431"/>
      <c r="S188" s="431"/>
      <c r="T188" s="431"/>
      <c r="U188" s="431"/>
      <c r="V188" s="433"/>
      <c r="W188" s="2"/>
      <c r="X188" s="2"/>
      <c r="Y188" s="2"/>
    </row>
    <row r="189" spans="1:25" ht="18.75" customHeight="1" x14ac:dyDescent="0.2">
      <c r="A189" s="434"/>
      <c r="B189" s="431"/>
      <c r="C189" s="431"/>
      <c r="D189" s="431"/>
      <c r="E189" s="433"/>
      <c r="F189" s="433"/>
      <c r="G189" s="441"/>
      <c r="H189" s="430"/>
      <c r="I189" s="442"/>
      <c r="J189" s="432"/>
      <c r="K189" s="431"/>
      <c r="L189" s="433"/>
      <c r="M189" s="431"/>
      <c r="N189" s="432"/>
      <c r="O189" s="431"/>
      <c r="P189" s="431"/>
      <c r="Q189" s="431"/>
      <c r="R189" s="431"/>
      <c r="S189" s="431"/>
      <c r="T189" s="431"/>
      <c r="U189" s="431"/>
      <c r="V189" s="433"/>
      <c r="W189" s="2"/>
      <c r="X189" s="2"/>
      <c r="Y189" s="2"/>
    </row>
    <row r="190" spans="1:25" ht="18.75" customHeight="1" x14ac:dyDescent="0.2">
      <c r="A190" s="434"/>
      <c r="B190" s="431"/>
      <c r="C190" s="431"/>
      <c r="D190" s="431"/>
      <c r="E190" s="433"/>
      <c r="F190" s="433"/>
      <c r="G190" s="441"/>
      <c r="H190" s="430"/>
      <c r="I190" s="442"/>
      <c r="J190" s="432"/>
      <c r="K190" s="431"/>
      <c r="L190" s="433"/>
      <c r="M190" s="431"/>
      <c r="N190" s="432"/>
      <c r="O190" s="431"/>
      <c r="P190" s="431"/>
      <c r="Q190" s="431"/>
      <c r="R190" s="431"/>
      <c r="S190" s="431"/>
      <c r="T190" s="431"/>
      <c r="U190" s="431"/>
      <c r="V190" s="433"/>
      <c r="W190" s="2"/>
      <c r="X190" s="2"/>
      <c r="Y190" s="2"/>
    </row>
    <row r="191" spans="1:25" ht="18.75" customHeight="1" x14ac:dyDescent="0.2">
      <c r="A191" s="434"/>
      <c r="B191" s="431"/>
      <c r="C191" s="431"/>
      <c r="D191" s="431"/>
      <c r="E191" s="433"/>
      <c r="F191" s="433"/>
      <c r="G191" s="441"/>
      <c r="H191" s="430"/>
      <c r="I191" s="442"/>
      <c r="J191" s="432"/>
      <c r="K191" s="431"/>
      <c r="L191" s="433"/>
      <c r="M191" s="431"/>
      <c r="N191" s="432"/>
      <c r="O191" s="431"/>
      <c r="P191" s="431"/>
      <c r="Q191" s="431"/>
      <c r="R191" s="431"/>
      <c r="S191" s="431"/>
      <c r="T191" s="431"/>
      <c r="U191" s="431"/>
      <c r="V191" s="433"/>
      <c r="W191" s="2"/>
      <c r="X191" s="2"/>
      <c r="Y191" s="2"/>
    </row>
    <row r="192" spans="1:25" ht="18.75" customHeight="1" x14ac:dyDescent="0.2">
      <c r="A192" s="434"/>
      <c r="B192" s="431"/>
      <c r="C192" s="431"/>
      <c r="D192" s="431"/>
      <c r="E192" s="433"/>
      <c r="F192" s="433"/>
      <c r="G192" s="441"/>
      <c r="H192" s="430"/>
      <c r="I192" s="442"/>
      <c r="J192" s="432"/>
      <c r="K192" s="431"/>
      <c r="L192" s="433"/>
      <c r="M192" s="431"/>
      <c r="N192" s="432"/>
      <c r="O192" s="431"/>
      <c r="P192" s="431"/>
      <c r="Q192" s="431"/>
      <c r="R192" s="431"/>
      <c r="S192" s="431"/>
      <c r="T192" s="431"/>
      <c r="U192" s="431"/>
      <c r="V192" s="433"/>
      <c r="W192" s="2"/>
      <c r="X192" s="2"/>
      <c r="Y192" s="2"/>
    </row>
    <row r="193" spans="1:25" ht="18.75" customHeight="1" x14ac:dyDescent="0.2">
      <c r="A193" s="434"/>
      <c r="B193" s="431"/>
      <c r="C193" s="431"/>
      <c r="D193" s="431"/>
      <c r="E193" s="433"/>
      <c r="F193" s="433"/>
      <c r="G193" s="441"/>
      <c r="H193" s="430"/>
      <c r="I193" s="442"/>
      <c r="J193" s="432"/>
      <c r="K193" s="431"/>
      <c r="L193" s="433"/>
      <c r="M193" s="431"/>
      <c r="N193" s="432"/>
      <c r="O193" s="431"/>
      <c r="P193" s="431"/>
      <c r="Q193" s="431"/>
      <c r="R193" s="431"/>
      <c r="S193" s="431"/>
      <c r="T193" s="431"/>
      <c r="U193" s="431"/>
      <c r="V193" s="433"/>
      <c r="W193" s="2"/>
      <c r="X193" s="2"/>
      <c r="Y193" s="2"/>
    </row>
    <row r="194" spans="1:25" ht="18.75" customHeight="1" x14ac:dyDescent="0.2">
      <c r="A194" s="434"/>
      <c r="B194" s="431"/>
      <c r="C194" s="431"/>
      <c r="D194" s="431"/>
      <c r="E194" s="433"/>
      <c r="F194" s="433"/>
      <c r="G194" s="441"/>
      <c r="H194" s="430"/>
      <c r="I194" s="442"/>
      <c r="J194" s="432"/>
      <c r="K194" s="431"/>
      <c r="L194" s="433"/>
      <c r="M194" s="431"/>
      <c r="N194" s="432"/>
      <c r="O194" s="431"/>
      <c r="P194" s="431"/>
      <c r="Q194" s="431"/>
      <c r="R194" s="431"/>
      <c r="S194" s="431"/>
      <c r="T194" s="431"/>
      <c r="U194" s="431"/>
      <c r="V194" s="433"/>
      <c r="W194" s="2"/>
      <c r="X194" s="2"/>
      <c r="Y194" s="2"/>
    </row>
    <row r="195" spans="1:25" ht="18.75" customHeight="1" x14ac:dyDescent="0.2">
      <c r="A195" s="434"/>
      <c r="B195" s="431"/>
      <c r="C195" s="431"/>
      <c r="D195" s="431"/>
      <c r="E195" s="433"/>
      <c r="F195" s="433"/>
      <c r="G195" s="441"/>
      <c r="H195" s="430"/>
      <c r="I195" s="442"/>
      <c r="J195" s="432"/>
      <c r="K195" s="431"/>
      <c r="L195" s="433"/>
      <c r="M195" s="431"/>
      <c r="N195" s="432"/>
      <c r="O195" s="431"/>
      <c r="P195" s="431"/>
      <c r="Q195" s="431"/>
      <c r="R195" s="431"/>
      <c r="S195" s="431"/>
      <c r="T195" s="431"/>
      <c r="U195" s="431"/>
      <c r="V195" s="433"/>
      <c r="W195" s="2"/>
      <c r="X195" s="2"/>
      <c r="Y195" s="2"/>
    </row>
    <row r="196" spans="1:25" ht="18.75" customHeight="1" x14ac:dyDescent="0.2">
      <c r="A196" s="434"/>
      <c r="B196" s="431"/>
      <c r="C196" s="431"/>
      <c r="D196" s="431"/>
      <c r="E196" s="433"/>
      <c r="F196" s="433"/>
      <c r="G196" s="441"/>
      <c r="H196" s="430"/>
      <c r="I196" s="442"/>
      <c r="J196" s="432"/>
      <c r="K196" s="431"/>
      <c r="L196" s="433"/>
      <c r="M196" s="431"/>
      <c r="N196" s="432"/>
      <c r="O196" s="431"/>
      <c r="P196" s="431"/>
      <c r="Q196" s="431"/>
      <c r="R196" s="431"/>
      <c r="S196" s="431"/>
      <c r="T196" s="431"/>
      <c r="U196" s="431"/>
      <c r="V196" s="433"/>
      <c r="W196" s="2"/>
      <c r="X196" s="2"/>
      <c r="Y196" s="2"/>
    </row>
    <row r="197" spans="1:25" ht="18.75" customHeight="1" x14ac:dyDescent="0.2">
      <c r="A197" s="434"/>
      <c r="B197" s="431"/>
      <c r="C197" s="431"/>
      <c r="D197" s="431"/>
      <c r="E197" s="433"/>
      <c r="F197" s="433"/>
      <c r="G197" s="441"/>
      <c r="H197" s="430"/>
      <c r="I197" s="442"/>
      <c r="J197" s="432"/>
      <c r="K197" s="431"/>
      <c r="L197" s="433"/>
      <c r="M197" s="431"/>
      <c r="N197" s="432"/>
      <c r="O197" s="431"/>
      <c r="P197" s="431"/>
      <c r="Q197" s="431"/>
      <c r="R197" s="431"/>
      <c r="S197" s="431"/>
      <c r="T197" s="431"/>
      <c r="U197" s="431"/>
      <c r="V197" s="433"/>
      <c r="W197" s="2"/>
      <c r="X197" s="2"/>
      <c r="Y197" s="2"/>
    </row>
    <row r="198" spans="1:25" ht="18.75" customHeight="1" x14ac:dyDescent="0.2">
      <c r="A198" s="434"/>
      <c r="B198" s="431"/>
      <c r="C198" s="431"/>
      <c r="D198" s="431"/>
      <c r="E198" s="433"/>
      <c r="F198" s="433"/>
      <c r="G198" s="441"/>
      <c r="H198" s="430"/>
      <c r="I198" s="442"/>
      <c r="J198" s="432"/>
      <c r="K198" s="431"/>
      <c r="L198" s="433"/>
      <c r="M198" s="431"/>
      <c r="N198" s="432"/>
      <c r="O198" s="431"/>
      <c r="P198" s="431"/>
      <c r="Q198" s="431"/>
      <c r="R198" s="431"/>
      <c r="S198" s="431"/>
      <c r="T198" s="431"/>
      <c r="U198" s="431"/>
      <c r="V198" s="433"/>
      <c r="W198" s="2"/>
      <c r="X198" s="2"/>
      <c r="Y198" s="2"/>
    </row>
    <row r="199" spans="1:25" ht="18.75" customHeight="1" x14ac:dyDescent="0.2">
      <c r="A199" s="434"/>
      <c r="B199" s="431"/>
      <c r="C199" s="431"/>
      <c r="D199" s="431"/>
      <c r="E199" s="433"/>
      <c r="F199" s="433"/>
      <c r="G199" s="441"/>
      <c r="H199" s="430"/>
      <c r="I199" s="442"/>
      <c r="J199" s="432"/>
      <c r="K199" s="431"/>
      <c r="L199" s="433"/>
      <c r="M199" s="431"/>
      <c r="N199" s="432"/>
      <c r="O199" s="431"/>
      <c r="P199" s="431"/>
      <c r="Q199" s="431"/>
      <c r="R199" s="431"/>
      <c r="S199" s="431"/>
      <c r="T199" s="431"/>
      <c r="U199" s="431"/>
      <c r="V199" s="433"/>
      <c r="W199" s="2"/>
      <c r="X199" s="2"/>
      <c r="Y199" s="2"/>
    </row>
    <row r="200" spans="1:25" ht="18.75" customHeight="1" x14ac:dyDescent="0.2">
      <c r="A200" s="434"/>
      <c r="B200" s="431"/>
      <c r="C200" s="431"/>
      <c r="D200" s="431"/>
      <c r="E200" s="433"/>
      <c r="F200" s="433"/>
      <c r="G200" s="441"/>
      <c r="H200" s="430"/>
      <c r="I200" s="442"/>
      <c r="J200" s="432"/>
      <c r="K200" s="431"/>
      <c r="L200" s="433"/>
      <c r="M200" s="431"/>
      <c r="N200" s="432"/>
      <c r="O200" s="431"/>
      <c r="P200" s="431"/>
      <c r="Q200" s="431"/>
      <c r="R200" s="431"/>
      <c r="S200" s="431"/>
      <c r="T200" s="431"/>
      <c r="U200" s="431"/>
      <c r="V200" s="433"/>
      <c r="W200" s="2"/>
      <c r="X200" s="2"/>
      <c r="Y200" s="2"/>
    </row>
    <row r="201" spans="1:25" ht="18.75" customHeight="1" x14ac:dyDescent="0.2">
      <c r="A201" s="434"/>
      <c r="B201" s="431"/>
      <c r="C201" s="431"/>
      <c r="D201" s="431"/>
      <c r="E201" s="433"/>
      <c r="F201" s="433"/>
      <c r="G201" s="441"/>
      <c r="H201" s="430"/>
      <c r="I201" s="442"/>
      <c r="J201" s="432"/>
      <c r="K201" s="431"/>
      <c r="L201" s="433"/>
      <c r="M201" s="431"/>
      <c r="N201" s="432"/>
      <c r="O201" s="431"/>
      <c r="P201" s="431"/>
      <c r="Q201" s="431"/>
      <c r="R201" s="431"/>
      <c r="S201" s="431"/>
      <c r="T201" s="431"/>
      <c r="U201" s="431"/>
      <c r="V201" s="433"/>
      <c r="W201" s="2"/>
      <c r="X201" s="2"/>
      <c r="Y201" s="2"/>
    </row>
    <row r="202" spans="1:25" ht="18.75" customHeight="1" x14ac:dyDescent="0.2">
      <c r="A202" s="434"/>
      <c r="B202" s="431"/>
      <c r="C202" s="431"/>
      <c r="D202" s="431"/>
      <c r="E202" s="433"/>
      <c r="F202" s="433"/>
      <c r="G202" s="441"/>
      <c r="H202" s="430"/>
      <c r="I202" s="442"/>
      <c r="J202" s="432"/>
      <c r="K202" s="431"/>
      <c r="L202" s="433"/>
      <c r="M202" s="431"/>
      <c r="N202" s="432"/>
      <c r="O202" s="431"/>
      <c r="P202" s="431"/>
      <c r="Q202" s="431"/>
      <c r="R202" s="431"/>
      <c r="S202" s="431"/>
      <c r="T202" s="431"/>
      <c r="U202" s="431"/>
      <c r="V202" s="433"/>
      <c r="W202" s="2"/>
      <c r="X202" s="2"/>
      <c r="Y202" s="2"/>
    </row>
    <row r="203" spans="1:25" ht="18.75" customHeight="1" x14ac:dyDescent="0.2">
      <c r="A203" s="434"/>
      <c r="B203" s="431"/>
      <c r="C203" s="431"/>
      <c r="D203" s="431"/>
      <c r="E203" s="433"/>
      <c r="F203" s="433"/>
      <c r="G203" s="441"/>
      <c r="H203" s="430"/>
      <c r="I203" s="442"/>
      <c r="J203" s="432"/>
      <c r="K203" s="431"/>
      <c r="L203" s="433"/>
      <c r="M203" s="431"/>
      <c r="N203" s="432"/>
      <c r="O203" s="431"/>
      <c r="P203" s="431"/>
      <c r="Q203" s="431"/>
      <c r="R203" s="431"/>
      <c r="S203" s="431"/>
      <c r="T203" s="431"/>
      <c r="U203" s="431"/>
      <c r="V203" s="433"/>
      <c r="W203" s="2"/>
      <c r="X203" s="2"/>
      <c r="Y203" s="2"/>
    </row>
    <row r="204" spans="1:25" ht="18.75" customHeight="1" x14ac:dyDescent="0.2">
      <c r="A204" s="434"/>
      <c r="B204" s="431"/>
      <c r="C204" s="431"/>
      <c r="D204" s="431"/>
      <c r="E204" s="433"/>
      <c r="F204" s="433"/>
      <c r="G204" s="441"/>
      <c r="H204" s="430"/>
      <c r="I204" s="442"/>
      <c r="J204" s="432"/>
      <c r="K204" s="431"/>
      <c r="L204" s="433"/>
      <c r="M204" s="431"/>
      <c r="N204" s="432"/>
      <c r="O204" s="431"/>
      <c r="P204" s="431"/>
      <c r="Q204" s="431"/>
      <c r="R204" s="431"/>
      <c r="S204" s="431"/>
      <c r="T204" s="431"/>
      <c r="U204" s="431"/>
      <c r="V204" s="433"/>
      <c r="W204" s="2"/>
      <c r="X204" s="2"/>
      <c r="Y204" s="2"/>
    </row>
    <row r="205" spans="1:25" ht="18.75" customHeight="1" x14ac:dyDescent="0.2">
      <c r="A205" s="434"/>
      <c r="B205" s="431"/>
      <c r="C205" s="431"/>
      <c r="D205" s="431"/>
      <c r="E205" s="433"/>
      <c r="F205" s="433"/>
      <c r="G205" s="441"/>
      <c r="H205" s="430"/>
      <c r="I205" s="442"/>
      <c r="J205" s="432"/>
      <c r="K205" s="431"/>
      <c r="L205" s="433"/>
      <c r="M205" s="431"/>
      <c r="N205" s="432"/>
      <c r="O205" s="431"/>
      <c r="P205" s="431"/>
      <c r="Q205" s="431"/>
      <c r="R205" s="431"/>
      <c r="S205" s="431"/>
      <c r="T205" s="431"/>
      <c r="U205" s="431"/>
      <c r="V205" s="433"/>
      <c r="W205" s="2"/>
      <c r="X205" s="2"/>
      <c r="Y205" s="2"/>
    </row>
    <row r="206" spans="1:25" ht="18.75" customHeight="1" x14ac:dyDescent="0.2">
      <c r="A206" s="434"/>
      <c r="B206" s="431"/>
      <c r="C206" s="431"/>
      <c r="D206" s="431"/>
      <c r="E206" s="433"/>
      <c r="F206" s="433"/>
      <c r="G206" s="441"/>
      <c r="H206" s="430"/>
      <c r="I206" s="442"/>
      <c r="J206" s="432"/>
      <c r="K206" s="431"/>
      <c r="L206" s="433"/>
      <c r="M206" s="431"/>
      <c r="N206" s="432"/>
      <c r="O206" s="431"/>
      <c r="P206" s="431"/>
      <c r="Q206" s="431"/>
      <c r="R206" s="431"/>
      <c r="S206" s="431"/>
      <c r="T206" s="431"/>
      <c r="U206" s="431"/>
      <c r="V206" s="433"/>
      <c r="W206" s="2"/>
      <c r="X206" s="2"/>
      <c r="Y206" s="2"/>
    </row>
    <row r="207" spans="1:25" ht="18.75" customHeight="1" x14ac:dyDescent="0.2">
      <c r="A207" s="434"/>
      <c r="B207" s="431"/>
      <c r="C207" s="431"/>
      <c r="D207" s="431"/>
      <c r="E207" s="433"/>
      <c r="F207" s="433"/>
      <c r="G207" s="441"/>
      <c r="H207" s="430"/>
      <c r="I207" s="442"/>
      <c r="J207" s="432"/>
      <c r="K207" s="431"/>
      <c r="L207" s="433"/>
      <c r="M207" s="431"/>
      <c r="N207" s="432"/>
      <c r="O207" s="431"/>
      <c r="P207" s="431"/>
      <c r="Q207" s="431"/>
      <c r="R207" s="431"/>
      <c r="S207" s="431"/>
      <c r="T207" s="431"/>
      <c r="U207" s="431"/>
      <c r="V207" s="433"/>
      <c r="W207" s="2"/>
      <c r="X207" s="2"/>
      <c r="Y207" s="2"/>
    </row>
    <row r="208" spans="1:25" ht="18.75" customHeight="1" x14ac:dyDescent="0.2">
      <c r="A208" s="434"/>
      <c r="B208" s="431"/>
      <c r="C208" s="431"/>
      <c r="D208" s="431"/>
      <c r="E208" s="433"/>
      <c r="F208" s="433"/>
      <c r="G208" s="441"/>
      <c r="H208" s="430"/>
      <c r="I208" s="442"/>
      <c r="J208" s="432"/>
      <c r="K208" s="431"/>
      <c r="L208" s="433"/>
      <c r="M208" s="431"/>
      <c r="N208" s="432"/>
      <c r="O208" s="431"/>
      <c r="P208" s="431"/>
      <c r="Q208" s="431"/>
      <c r="R208" s="431"/>
      <c r="S208" s="431"/>
      <c r="T208" s="431"/>
      <c r="U208" s="431"/>
      <c r="V208" s="433"/>
      <c r="W208" s="2"/>
      <c r="X208" s="2"/>
      <c r="Y208" s="2"/>
    </row>
    <row r="209" spans="1:25" ht="18.75" customHeight="1" x14ac:dyDescent="0.2">
      <c r="A209" s="434"/>
      <c r="B209" s="431"/>
      <c r="C209" s="431"/>
      <c r="D209" s="431"/>
      <c r="E209" s="433"/>
      <c r="F209" s="433"/>
      <c r="G209" s="441"/>
      <c r="H209" s="430"/>
      <c r="I209" s="442"/>
      <c r="J209" s="432"/>
      <c r="K209" s="431"/>
      <c r="L209" s="433"/>
      <c r="M209" s="431"/>
      <c r="N209" s="432"/>
      <c r="O209" s="431"/>
      <c r="P209" s="431"/>
      <c r="Q209" s="431"/>
      <c r="R209" s="431"/>
      <c r="S209" s="431"/>
      <c r="T209" s="431"/>
      <c r="U209" s="431"/>
      <c r="V209" s="433"/>
      <c r="W209" s="2"/>
      <c r="X209" s="2"/>
      <c r="Y209" s="2"/>
    </row>
    <row r="210" spans="1:25" ht="18.75" customHeight="1" x14ac:dyDescent="0.2">
      <c r="A210" s="434"/>
      <c r="B210" s="431"/>
      <c r="C210" s="431"/>
      <c r="D210" s="431"/>
      <c r="E210" s="433"/>
      <c r="F210" s="433"/>
      <c r="G210" s="441"/>
      <c r="H210" s="430"/>
      <c r="I210" s="442"/>
      <c r="J210" s="432"/>
      <c r="K210" s="431"/>
      <c r="L210" s="433"/>
      <c r="M210" s="431"/>
      <c r="N210" s="432"/>
      <c r="O210" s="431"/>
      <c r="P210" s="431"/>
      <c r="Q210" s="431"/>
      <c r="R210" s="431"/>
      <c r="S210" s="431"/>
      <c r="T210" s="431"/>
      <c r="U210" s="431"/>
      <c r="V210" s="433"/>
      <c r="W210" s="2"/>
      <c r="X210" s="2"/>
      <c r="Y210" s="2"/>
    </row>
    <row r="211" spans="1:25" ht="18.75" customHeight="1" x14ac:dyDescent="0.2">
      <c r="A211" s="434"/>
      <c r="B211" s="431"/>
      <c r="C211" s="431"/>
      <c r="D211" s="431"/>
      <c r="E211" s="433"/>
      <c r="F211" s="433"/>
      <c r="G211" s="441"/>
      <c r="H211" s="430"/>
      <c r="I211" s="442"/>
      <c r="J211" s="432"/>
      <c r="K211" s="431"/>
      <c r="L211" s="433"/>
      <c r="M211" s="431"/>
      <c r="N211" s="432"/>
      <c r="O211" s="431"/>
      <c r="P211" s="431"/>
      <c r="Q211" s="431"/>
      <c r="R211" s="431"/>
      <c r="S211" s="431"/>
      <c r="T211" s="431"/>
      <c r="U211" s="431"/>
      <c r="V211" s="433"/>
      <c r="W211" s="2"/>
      <c r="X211" s="2"/>
      <c r="Y211" s="2"/>
    </row>
    <row r="212" spans="1:25" ht="18.75" customHeight="1" x14ac:dyDescent="0.2">
      <c r="A212" s="434"/>
      <c r="B212" s="431"/>
      <c r="C212" s="431"/>
      <c r="D212" s="431"/>
      <c r="E212" s="433"/>
      <c r="F212" s="433"/>
      <c r="G212" s="441"/>
      <c r="H212" s="430"/>
      <c r="I212" s="442"/>
      <c r="J212" s="432"/>
      <c r="K212" s="431"/>
      <c r="L212" s="433"/>
      <c r="M212" s="431"/>
      <c r="N212" s="432"/>
      <c r="O212" s="431"/>
      <c r="P212" s="431"/>
      <c r="Q212" s="431"/>
      <c r="R212" s="431"/>
      <c r="S212" s="431"/>
      <c r="T212" s="431"/>
      <c r="U212" s="431"/>
      <c r="V212" s="433"/>
      <c r="W212" s="2"/>
      <c r="X212" s="2"/>
      <c r="Y212" s="2"/>
    </row>
    <row r="213" spans="1:25" ht="18.75" customHeight="1" x14ac:dyDescent="0.2">
      <c r="A213" s="434"/>
      <c r="B213" s="431"/>
      <c r="C213" s="431"/>
      <c r="D213" s="431"/>
      <c r="E213" s="433"/>
      <c r="F213" s="433"/>
      <c r="G213" s="441"/>
      <c r="H213" s="430"/>
      <c r="I213" s="442"/>
      <c r="J213" s="432"/>
      <c r="K213" s="431"/>
      <c r="L213" s="433"/>
      <c r="M213" s="431"/>
      <c r="N213" s="432"/>
      <c r="O213" s="431"/>
      <c r="P213" s="431"/>
      <c r="Q213" s="431"/>
      <c r="R213" s="431"/>
      <c r="S213" s="431"/>
      <c r="T213" s="431"/>
      <c r="U213" s="431"/>
      <c r="V213" s="433"/>
      <c r="W213" s="2"/>
      <c r="X213" s="2"/>
      <c r="Y213" s="2"/>
    </row>
    <row r="214" spans="1:25" ht="18.75" customHeight="1" x14ac:dyDescent="0.2">
      <c r="A214" s="434"/>
      <c r="B214" s="431"/>
      <c r="C214" s="431"/>
      <c r="D214" s="431"/>
      <c r="E214" s="433"/>
      <c r="F214" s="433"/>
      <c r="G214" s="441"/>
      <c r="H214" s="430"/>
      <c r="I214" s="442"/>
      <c r="J214" s="432"/>
      <c r="K214" s="431"/>
      <c r="L214" s="433"/>
      <c r="M214" s="431"/>
      <c r="N214" s="432"/>
      <c r="O214" s="431"/>
      <c r="P214" s="431"/>
      <c r="Q214" s="431"/>
      <c r="R214" s="431"/>
      <c r="S214" s="431"/>
      <c r="T214" s="431"/>
      <c r="U214" s="431"/>
      <c r="V214" s="433"/>
      <c r="W214" s="2"/>
      <c r="X214" s="2"/>
      <c r="Y214" s="2"/>
    </row>
    <row r="215" spans="1:25" ht="18.75" customHeight="1" x14ac:dyDescent="0.2">
      <c r="A215" s="434"/>
      <c r="B215" s="431"/>
      <c r="C215" s="431"/>
      <c r="D215" s="431"/>
      <c r="E215" s="433"/>
      <c r="F215" s="433"/>
      <c r="G215" s="441"/>
      <c r="H215" s="430"/>
      <c r="I215" s="442"/>
      <c r="J215" s="432"/>
      <c r="K215" s="431"/>
      <c r="L215" s="433"/>
      <c r="M215" s="431"/>
      <c r="N215" s="432"/>
      <c r="O215" s="431"/>
      <c r="P215" s="431"/>
      <c r="Q215" s="431"/>
      <c r="R215" s="431"/>
      <c r="S215" s="431"/>
      <c r="T215" s="431"/>
      <c r="U215" s="431"/>
      <c r="V215" s="433"/>
      <c r="W215" s="2"/>
      <c r="X215" s="2"/>
      <c r="Y215" s="2"/>
    </row>
    <row r="216" spans="1:25" ht="18.75" customHeight="1" x14ac:dyDescent="0.2">
      <c r="A216" s="434"/>
      <c r="B216" s="431"/>
      <c r="C216" s="431"/>
      <c r="D216" s="431"/>
      <c r="E216" s="433"/>
      <c r="F216" s="433"/>
      <c r="G216" s="441"/>
      <c r="H216" s="430"/>
      <c r="I216" s="442"/>
      <c r="J216" s="432"/>
      <c r="K216" s="431"/>
      <c r="L216" s="433"/>
      <c r="M216" s="431"/>
      <c r="N216" s="432"/>
      <c r="O216" s="431"/>
      <c r="P216" s="431"/>
      <c r="Q216" s="431"/>
      <c r="R216" s="431"/>
      <c r="S216" s="431"/>
      <c r="T216" s="431"/>
      <c r="U216" s="431"/>
      <c r="V216" s="433"/>
      <c r="W216" s="2"/>
      <c r="X216" s="2"/>
      <c r="Y216" s="2"/>
    </row>
    <row r="217" spans="1:25" ht="18.75" customHeight="1" x14ac:dyDescent="0.2">
      <c r="A217" s="434"/>
      <c r="B217" s="431"/>
      <c r="C217" s="431"/>
      <c r="D217" s="431"/>
      <c r="E217" s="433"/>
      <c r="F217" s="433"/>
      <c r="G217" s="441"/>
      <c r="H217" s="430"/>
      <c r="I217" s="442"/>
      <c r="J217" s="432"/>
      <c r="K217" s="431"/>
      <c r="L217" s="433"/>
      <c r="M217" s="431"/>
      <c r="N217" s="432"/>
      <c r="O217" s="431"/>
      <c r="P217" s="431"/>
      <c r="Q217" s="431"/>
      <c r="R217" s="431"/>
      <c r="S217" s="431"/>
      <c r="T217" s="431"/>
      <c r="U217" s="431"/>
      <c r="V217" s="433"/>
      <c r="W217" s="2"/>
      <c r="X217" s="2"/>
      <c r="Y217" s="2"/>
    </row>
    <row r="218" spans="1:25" ht="18.75" customHeight="1" x14ac:dyDescent="0.2">
      <c r="A218" s="434"/>
      <c r="B218" s="431"/>
      <c r="C218" s="431"/>
      <c r="D218" s="431"/>
      <c r="E218" s="433"/>
      <c r="F218" s="433"/>
      <c r="G218" s="441"/>
      <c r="H218" s="430"/>
      <c r="I218" s="442"/>
      <c r="J218" s="432"/>
      <c r="K218" s="431"/>
      <c r="L218" s="433"/>
      <c r="M218" s="431"/>
      <c r="N218" s="432"/>
      <c r="O218" s="431"/>
      <c r="P218" s="431"/>
      <c r="Q218" s="431"/>
      <c r="R218" s="431"/>
      <c r="S218" s="431"/>
      <c r="T218" s="431"/>
      <c r="U218" s="431"/>
      <c r="V218" s="433"/>
      <c r="W218" s="2"/>
      <c r="X218" s="2"/>
      <c r="Y218" s="2"/>
    </row>
    <row r="219" spans="1:25" ht="18.75" customHeight="1" x14ac:dyDescent="0.2">
      <c r="A219" s="434"/>
      <c r="B219" s="431"/>
      <c r="C219" s="431"/>
      <c r="D219" s="431"/>
      <c r="E219" s="433"/>
      <c r="F219" s="433"/>
      <c r="G219" s="441"/>
      <c r="H219" s="430"/>
      <c r="I219" s="442"/>
      <c r="J219" s="432"/>
      <c r="K219" s="431"/>
      <c r="L219" s="433"/>
      <c r="M219" s="431"/>
      <c r="N219" s="432"/>
      <c r="O219" s="431"/>
      <c r="P219" s="431"/>
      <c r="Q219" s="431"/>
      <c r="R219" s="431"/>
      <c r="S219" s="431"/>
      <c r="T219" s="431"/>
      <c r="U219" s="431"/>
      <c r="V219" s="433"/>
      <c r="W219" s="2"/>
      <c r="X219" s="2"/>
      <c r="Y219" s="2"/>
    </row>
    <row r="220" spans="1:25" ht="18.75" customHeight="1" x14ac:dyDescent="0.2">
      <c r="A220" s="434"/>
      <c r="B220" s="431"/>
      <c r="C220" s="431"/>
      <c r="D220" s="431"/>
      <c r="E220" s="433"/>
      <c r="F220" s="433"/>
      <c r="G220" s="441"/>
      <c r="H220" s="430"/>
      <c r="I220" s="442"/>
      <c r="J220" s="432"/>
      <c r="K220" s="431"/>
      <c r="L220" s="433"/>
      <c r="M220" s="431"/>
      <c r="N220" s="432"/>
      <c r="O220" s="431"/>
      <c r="P220" s="431"/>
      <c r="Q220" s="431"/>
      <c r="R220" s="431"/>
      <c r="S220" s="431"/>
      <c r="T220" s="431"/>
      <c r="U220" s="431"/>
      <c r="V220" s="433"/>
      <c r="W220" s="2"/>
      <c r="X220" s="2"/>
      <c r="Y220" s="2"/>
    </row>
    <row r="221" spans="1:25" ht="18.75" customHeight="1" x14ac:dyDescent="0.2">
      <c r="A221" s="434"/>
      <c r="B221" s="431"/>
      <c r="C221" s="431"/>
      <c r="D221" s="431"/>
      <c r="E221" s="433"/>
      <c r="F221" s="433"/>
      <c r="G221" s="441"/>
      <c r="H221" s="430"/>
      <c r="I221" s="442"/>
      <c r="J221" s="432"/>
      <c r="K221" s="431"/>
      <c r="L221" s="433"/>
      <c r="M221" s="431"/>
      <c r="N221" s="432"/>
      <c r="O221" s="431"/>
      <c r="P221" s="431"/>
      <c r="Q221" s="431"/>
      <c r="R221" s="431"/>
      <c r="S221" s="431"/>
      <c r="T221" s="431"/>
      <c r="U221" s="431"/>
      <c r="V221" s="433"/>
      <c r="W221" s="2"/>
      <c r="X221" s="2"/>
      <c r="Y221" s="2"/>
    </row>
    <row r="222" spans="1:25" ht="18.75" customHeight="1" x14ac:dyDescent="0.2">
      <c r="A222" s="434"/>
      <c r="B222" s="431"/>
      <c r="C222" s="431"/>
      <c r="D222" s="431"/>
      <c r="E222" s="433"/>
      <c r="F222" s="433"/>
      <c r="G222" s="441"/>
      <c r="H222" s="430"/>
      <c r="I222" s="442"/>
      <c r="J222" s="432"/>
      <c r="K222" s="431"/>
      <c r="L222" s="433"/>
      <c r="M222" s="431"/>
      <c r="N222" s="432"/>
      <c r="O222" s="431"/>
      <c r="P222" s="431"/>
      <c r="Q222" s="431"/>
      <c r="R222" s="431"/>
      <c r="S222" s="431"/>
      <c r="T222" s="431"/>
      <c r="U222" s="431"/>
      <c r="V222" s="433"/>
      <c r="W222" s="2"/>
      <c r="X222" s="2"/>
      <c r="Y222" s="2"/>
    </row>
    <row r="223" spans="1:25" ht="18.75" customHeight="1" x14ac:dyDescent="0.2">
      <c r="A223" s="434"/>
      <c r="B223" s="431"/>
      <c r="C223" s="431"/>
      <c r="D223" s="431"/>
      <c r="E223" s="433"/>
      <c r="F223" s="433"/>
      <c r="G223" s="441"/>
      <c r="H223" s="430"/>
      <c r="I223" s="442"/>
      <c r="J223" s="432"/>
      <c r="K223" s="431"/>
      <c r="L223" s="433"/>
      <c r="M223" s="431"/>
      <c r="N223" s="432"/>
      <c r="O223" s="431"/>
      <c r="P223" s="431"/>
      <c r="Q223" s="431"/>
      <c r="R223" s="431"/>
      <c r="S223" s="431"/>
      <c r="T223" s="431"/>
      <c r="U223" s="431"/>
      <c r="V223" s="433"/>
      <c r="W223" s="2"/>
      <c r="X223" s="2"/>
      <c r="Y223" s="2"/>
    </row>
    <row r="224" spans="1:25" ht="18.75" customHeight="1" x14ac:dyDescent="0.2">
      <c r="A224" s="434"/>
      <c r="B224" s="431"/>
      <c r="C224" s="431"/>
      <c r="D224" s="431"/>
      <c r="E224" s="433"/>
      <c r="F224" s="433"/>
      <c r="G224" s="441"/>
      <c r="H224" s="430"/>
      <c r="I224" s="442"/>
      <c r="J224" s="432"/>
      <c r="K224" s="431"/>
      <c r="L224" s="433"/>
      <c r="M224" s="431"/>
      <c r="N224" s="432"/>
      <c r="O224" s="431"/>
      <c r="P224" s="431"/>
      <c r="Q224" s="431"/>
      <c r="R224" s="431"/>
      <c r="S224" s="431"/>
      <c r="T224" s="431"/>
      <c r="U224" s="431"/>
      <c r="V224" s="433"/>
      <c r="W224" s="2"/>
      <c r="X224" s="2"/>
      <c r="Y224" s="2"/>
    </row>
    <row r="225" spans="1:25" ht="18.75" customHeight="1" x14ac:dyDescent="0.2">
      <c r="A225" s="434"/>
      <c r="B225" s="431"/>
      <c r="C225" s="431"/>
      <c r="D225" s="431"/>
      <c r="E225" s="433"/>
      <c r="F225" s="433"/>
      <c r="G225" s="441"/>
      <c r="H225" s="430"/>
      <c r="I225" s="442"/>
      <c r="J225" s="432"/>
      <c r="K225" s="431"/>
      <c r="L225" s="433"/>
      <c r="M225" s="431"/>
      <c r="N225" s="432"/>
      <c r="O225" s="431"/>
      <c r="P225" s="431"/>
      <c r="Q225" s="431"/>
      <c r="R225" s="431"/>
      <c r="S225" s="431"/>
      <c r="T225" s="431"/>
      <c r="U225" s="431"/>
      <c r="V225" s="433"/>
      <c r="W225" s="2"/>
      <c r="X225" s="2"/>
      <c r="Y225" s="2"/>
    </row>
    <row r="226" spans="1:25" ht="18.75" customHeight="1" x14ac:dyDescent="0.2">
      <c r="A226" s="434"/>
      <c r="B226" s="431"/>
      <c r="C226" s="431"/>
      <c r="D226" s="431"/>
      <c r="E226" s="433"/>
      <c r="F226" s="433"/>
      <c r="G226" s="441"/>
      <c r="H226" s="430"/>
      <c r="I226" s="442"/>
      <c r="J226" s="432"/>
      <c r="K226" s="431"/>
      <c r="L226" s="433"/>
      <c r="M226" s="431"/>
      <c r="N226" s="432"/>
      <c r="O226" s="431"/>
      <c r="P226" s="431"/>
      <c r="Q226" s="431"/>
      <c r="R226" s="431"/>
      <c r="S226" s="431"/>
      <c r="T226" s="431"/>
      <c r="U226" s="431"/>
      <c r="V226" s="433"/>
      <c r="W226" s="2"/>
      <c r="X226" s="2"/>
      <c r="Y226" s="2"/>
    </row>
    <row r="227" spans="1:25" ht="18.75" customHeight="1" x14ac:dyDescent="0.2">
      <c r="A227" s="434"/>
      <c r="B227" s="431"/>
      <c r="C227" s="431"/>
      <c r="D227" s="431"/>
      <c r="E227" s="433"/>
      <c r="F227" s="433"/>
      <c r="G227" s="441"/>
      <c r="H227" s="430"/>
      <c r="I227" s="442"/>
      <c r="J227" s="432"/>
      <c r="K227" s="431"/>
      <c r="L227" s="433"/>
      <c r="M227" s="431"/>
      <c r="N227" s="432"/>
      <c r="O227" s="431"/>
      <c r="P227" s="431"/>
      <c r="Q227" s="431"/>
      <c r="R227" s="431"/>
      <c r="S227" s="431"/>
      <c r="T227" s="431"/>
      <c r="U227" s="431"/>
      <c r="V227" s="433"/>
      <c r="W227" s="2"/>
      <c r="X227" s="2"/>
      <c r="Y227" s="2"/>
    </row>
    <row r="228" spans="1:25" ht="18.75" customHeight="1" x14ac:dyDescent="0.2">
      <c r="A228" s="434"/>
      <c r="B228" s="431"/>
      <c r="C228" s="431"/>
      <c r="D228" s="431"/>
      <c r="E228" s="433"/>
      <c r="F228" s="433"/>
      <c r="G228" s="441"/>
      <c r="H228" s="430"/>
      <c r="I228" s="442"/>
      <c r="J228" s="432"/>
      <c r="K228" s="431"/>
      <c r="L228" s="433"/>
      <c r="M228" s="431"/>
      <c r="N228" s="432"/>
      <c r="O228" s="431"/>
      <c r="P228" s="431"/>
      <c r="Q228" s="431"/>
      <c r="R228" s="431"/>
      <c r="S228" s="431"/>
      <c r="T228" s="431"/>
      <c r="U228" s="431"/>
      <c r="V228" s="433"/>
      <c r="W228" s="2"/>
      <c r="X228" s="2"/>
      <c r="Y228" s="2"/>
    </row>
    <row r="229" spans="1:25" ht="18.75" customHeight="1" x14ac:dyDescent="0.2">
      <c r="A229" s="434"/>
      <c r="B229" s="431"/>
      <c r="C229" s="431"/>
      <c r="D229" s="431"/>
      <c r="E229" s="433"/>
      <c r="F229" s="433"/>
      <c r="G229" s="441"/>
      <c r="H229" s="430"/>
      <c r="I229" s="442"/>
      <c r="J229" s="432"/>
      <c r="K229" s="431"/>
      <c r="L229" s="433"/>
      <c r="M229" s="431"/>
      <c r="N229" s="432"/>
      <c r="O229" s="431"/>
      <c r="P229" s="431"/>
      <c r="Q229" s="431"/>
      <c r="R229" s="431"/>
      <c r="S229" s="431"/>
      <c r="T229" s="431"/>
      <c r="U229" s="431"/>
      <c r="V229" s="433"/>
      <c r="W229" s="2"/>
      <c r="X229" s="2"/>
      <c r="Y229" s="2"/>
    </row>
    <row r="230" spans="1:25" ht="18.75" customHeight="1" x14ac:dyDescent="0.2">
      <c r="A230" s="434"/>
      <c r="B230" s="431"/>
      <c r="C230" s="431"/>
      <c r="D230" s="431"/>
      <c r="E230" s="433"/>
      <c r="F230" s="433"/>
      <c r="G230" s="441"/>
      <c r="H230" s="430"/>
      <c r="I230" s="442"/>
      <c r="J230" s="432"/>
      <c r="K230" s="431"/>
      <c r="L230" s="433"/>
      <c r="M230" s="431"/>
      <c r="N230" s="432"/>
      <c r="O230" s="431"/>
      <c r="P230" s="431"/>
      <c r="Q230" s="431"/>
      <c r="R230" s="431"/>
      <c r="S230" s="431"/>
      <c r="T230" s="431"/>
      <c r="U230" s="431"/>
      <c r="V230" s="433"/>
      <c r="W230" s="2"/>
      <c r="X230" s="2"/>
      <c r="Y230" s="2"/>
    </row>
    <row r="231" spans="1:25" ht="18.75" customHeight="1" x14ac:dyDescent="0.2">
      <c r="A231" s="434"/>
      <c r="B231" s="431"/>
      <c r="C231" s="431"/>
      <c r="D231" s="431"/>
      <c r="E231" s="433"/>
      <c r="F231" s="433"/>
      <c r="G231" s="441"/>
      <c r="H231" s="430"/>
      <c r="I231" s="442"/>
      <c r="J231" s="432"/>
      <c r="K231" s="431"/>
      <c r="L231" s="433"/>
      <c r="M231" s="431"/>
      <c r="N231" s="432"/>
      <c r="O231" s="431"/>
      <c r="P231" s="431"/>
      <c r="Q231" s="431"/>
      <c r="R231" s="431"/>
      <c r="S231" s="431"/>
      <c r="T231" s="431"/>
      <c r="U231" s="431"/>
      <c r="V231" s="433"/>
      <c r="W231" s="2"/>
      <c r="X231" s="2"/>
      <c r="Y231" s="2"/>
    </row>
    <row r="232" spans="1:25" ht="18.75" customHeight="1" x14ac:dyDescent="0.2">
      <c r="A232" s="434"/>
      <c r="B232" s="431"/>
      <c r="C232" s="431"/>
      <c r="D232" s="431"/>
      <c r="E232" s="433"/>
      <c r="F232" s="433"/>
      <c r="G232" s="441"/>
      <c r="H232" s="430"/>
      <c r="I232" s="442"/>
      <c r="J232" s="432"/>
      <c r="K232" s="431"/>
      <c r="L232" s="433"/>
      <c r="M232" s="431"/>
      <c r="N232" s="432"/>
      <c r="O232" s="431"/>
      <c r="P232" s="431"/>
      <c r="Q232" s="431"/>
      <c r="R232" s="431"/>
      <c r="S232" s="431"/>
      <c r="T232" s="431"/>
      <c r="U232" s="431"/>
      <c r="V232" s="433"/>
      <c r="W232" s="2"/>
      <c r="X232" s="2"/>
      <c r="Y232" s="2"/>
    </row>
    <row r="233" spans="1:25" ht="18.75" customHeight="1" x14ac:dyDescent="0.2">
      <c r="A233" s="434"/>
      <c r="B233" s="431"/>
      <c r="C233" s="431"/>
      <c r="D233" s="431"/>
      <c r="E233" s="433"/>
      <c r="F233" s="433"/>
      <c r="G233" s="441"/>
      <c r="H233" s="430"/>
      <c r="I233" s="442"/>
      <c r="J233" s="432"/>
      <c r="K233" s="431"/>
      <c r="L233" s="433"/>
      <c r="M233" s="431"/>
      <c r="N233" s="432"/>
      <c r="O233" s="431"/>
      <c r="P233" s="431"/>
      <c r="Q233" s="431"/>
      <c r="R233" s="431"/>
      <c r="S233" s="431"/>
      <c r="T233" s="431"/>
      <c r="U233" s="431"/>
      <c r="V233" s="433"/>
      <c r="W233" s="2"/>
      <c r="X233" s="2"/>
      <c r="Y233" s="2"/>
    </row>
    <row r="234" spans="1:25" ht="18.75" customHeight="1" x14ac:dyDescent="0.2">
      <c r="A234" s="434"/>
      <c r="B234" s="431"/>
      <c r="C234" s="431"/>
      <c r="D234" s="431"/>
      <c r="E234" s="433"/>
      <c r="F234" s="433"/>
      <c r="G234" s="441"/>
      <c r="H234" s="430"/>
      <c r="I234" s="442"/>
      <c r="J234" s="432"/>
      <c r="K234" s="431"/>
      <c r="L234" s="433"/>
      <c r="M234" s="431"/>
      <c r="N234" s="432"/>
      <c r="O234" s="431"/>
      <c r="P234" s="431"/>
      <c r="Q234" s="431"/>
      <c r="R234" s="431"/>
      <c r="S234" s="431"/>
      <c r="T234" s="431"/>
      <c r="U234" s="431"/>
      <c r="V234" s="433"/>
      <c r="W234" s="2"/>
      <c r="X234" s="2"/>
      <c r="Y234" s="2"/>
    </row>
    <row r="235" spans="1:25" ht="18.75" customHeight="1" x14ac:dyDescent="0.2">
      <c r="A235" s="434"/>
      <c r="B235" s="431"/>
      <c r="C235" s="431"/>
      <c r="D235" s="431"/>
      <c r="E235" s="433"/>
      <c r="F235" s="433"/>
      <c r="G235" s="441"/>
      <c r="H235" s="430"/>
      <c r="I235" s="442"/>
      <c r="J235" s="432"/>
      <c r="K235" s="431"/>
      <c r="L235" s="433"/>
      <c r="M235" s="431"/>
      <c r="N235" s="432"/>
      <c r="O235" s="431"/>
      <c r="P235" s="431"/>
      <c r="Q235" s="431"/>
      <c r="R235" s="431"/>
      <c r="S235" s="431"/>
      <c r="T235" s="431"/>
      <c r="U235" s="431"/>
      <c r="V235" s="433"/>
      <c r="W235" s="2"/>
      <c r="X235" s="2"/>
      <c r="Y235" s="2"/>
    </row>
    <row r="236" spans="1:25" ht="18.75" customHeight="1" x14ac:dyDescent="0.2">
      <c r="A236" s="434"/>
      <c r="B236" s="431"/>
      <c r="C236" s="431"/>
      <c r="D236" s="431"/>
      <c r="E236" s="433"/>
      <c r="F236" s="433"/>
      <c r="G236" s="441"/>
      <c r="H236" s="430"/>
      <c r="I236" s="442"/>
      <c r="J236" s="432"/>
      <c r="K236" s="431"/>
      <c r="L236" s="433"/>
      <c r="M236" s="431"/>
      <c r="N236" s="432"/>
      <c r="O236" s="431"/>
      <c r="P236" s="431"/>
      <c r="Q236" s="431"/>
      <c r="R236" s="431"/>
      <c r="S236" s="431"/>
      <c r="T236" s="431"/>
      <c r="U236" s="431"/>
      <c r="V236" s="433"/>
      <c r="W236" s="2"/>
      <c r="X236" s="2"/>
      <c r="Y236" s="2"/>
    </row>
    <row r="237" spans="1:25" ht="18.75" customHeight="1" x14ac:dyDescent="0.2">
      <c r="A237" s="434"/>
      <c r="B237" s="431"/>
      <c r="C237" s="431"/>
      <c r="D237" s="431"/>
      <c r="E237" s="433"/>
      <c r="F237" s="433"/>
      <c r="G237" s="441"/>
      <c r="H237" s="430"/>
      <c r="I237" s="442"/>
      <c r="J237" s="432"/>
      <c r="K237" s="431"/>
      <c r="L237" s="433"/>
      <c r="M237" s="431"/>
      <c r="N237" s="432"/>
      <c r="O237" s="431"/>
      <c r="P237" s="431"/>
      <c r="Q237" s="431"/>
      <c r="R237" s="431"/>
      <c r="S237" s="431"/>
      <c r="T237" s="431"/>
      <c r="U237" s="431"/>
      <c r="V237" s="433"/>
      <c r="W237" s="2"/>
      <c r="X237" s="2"/>
      <c r="Y237" s="2"/>
    </row>
    <row r="238" spans="1:25" ht="18.75" customHeight="1" x14ac:dyDescent="0.2">
      <c r="A238" s="434"/>
      <c r="B238" s="431"/>
      <c r="C238" s="431"/>
      <c r="D238" s="431"/>
      <c r="E238" s="433"/>
      <c r="F238" s="433"/>
      <c r="G238" s="441"/>
      <c r="H238" s="430"/>
      <c r="I238" s="442"/>
      <c r="J238" s="432"/>
      <c r="K238" s="431"/>
      <c r="L238" s="433"/>
      <c r="M238" s="431"/>
      <c r="N238" s="432"/>
      <c r="O238" s="431"/>
      <c r="P238" s="431"/>
      <c r="Q238" s="431"/>
      <c r="R238" s="431"/>
      <c r="S238" s="431"/>
      <c r="T238" s="431"/>
      <c r="U238" s="431"/>
      <c r="V238" s="433"/>
      <c r="W238" s="2"/>
      <c r="X238" s="2"/>
      <c r="Y238" s="2"/>
    </row>
    <row r="239" spans="1:25" ht="18.75" customHeight="1" x14ac:dyDescent="0.2">
      <c r="A239" s="434"/>
      <c r="B239" s="431"/>
      <c r="C239" s="431"/>
      <c r="D239" s="431"/>
      <c r="E239" s="433"/>
      <c r="F239" s="433"/>
      <c r="G239" s="441"/>
      <c r="H239" s="430"/>
      <c r="I239" s="442"/>
      <c r="J239" s="432"/>
      <c r="K239" s="431"/>
      <c r="L239" s="433"/>
      <c r="M239" s="431"/>
      <c r="N239" s="432"/>
      <c r="O239" s="431"/>
      <c r="P239" s="431"/>
      <c r="Q239" s="431"/>
      <c r="R239" s="431"/>
      <c r="S239" s="431"/>
      <c r="T239" s="431"/>
      <c r="U239" s="431"/>
      <c r="V239" s="433"/>
      <c r="W239" s="2"/>
      <c r="X239" s="2"/>
      <c r="Y239" s="2"/>
    </row>
    <row r="240" spans="1:25" ht="18.75" customHeight="1" x14ac:dyDescent="0.2">
      <c r="A240" s="434"/>
      <c r="B240" s="431"/>
      <c r="C240" s="431"/>
      <c r="D240" s="431"/>
      <c r="E240" s="433"/>
      <c r="F240" s="433"/>
      <c r="G240" s="441"/>
      <c r="H240" s="430"/>
      <c r="I240" s="442"/>
      <c r="J240" s="432"/>
      <c r="K240" s="431"/>
      <c r="L240" s="433"/>
      <c r="M240" s="431"/>
      <c r="N240" s="432"/>
      <c r="O240" s="431"/>
      <c r="P240" s="431"/>
      <c r="Q240" s="431"/>
      <c r="R240" s="431"/>
      <c r="S240" s="431"/>
      <c r="T240" s="431"/>
      <c r="U240" s="431"/>
      <c r="V240" s="433"/>
      <c r="W240" s="2"/>
      <c r="X240" s="2"/>
      <c r="Y240" s="2"/>
    </row>
    <row r="241" spans="1:25" ht="18.75" customHeight="1" x14ac:dyDescent="0.2">
      <c r="A241" s="434"/>
      <c r="B241" s="431"/>
      <c r="C241" s="431"/>
      <c r="D241" s="431"/>
      <c r="E241" s="433"/>
      <c r="F241" s="433"/>
      <c r="G241" s="441"/>
      <c r="H241" s="430"/>
      <c r="I241" s="442"/>
      <c r="J241" s="432"/>
      <c r="K241" s="431"/>
      <c r="L241" s="433"/>
      <c r="M241" s="431"/>
      <c r="N241" s="432"/>
      <c r="O241" s="431"/>
      <c r="P241" s="431"/>
      <c r="Q241" s="431"/>
      <c r="R241" s="431"/>
      <c r="S241" s="431"/>
      <c r="T241" s="431"/>
      <c r="U241" s="431"/>
      <c r="V241" s="433"/>
      <c r="W241" s="2"/>
      <c r="X241" s="2"/>
      <c r="Y241" s="2"/>
    </row>
    <row r="242" spans="1:25" ht="18.75" customHeight="1" x14ac:dyDescent="0.2">
      <c r="A242" s="434"/>
      <c r="B242" s="431"/>
      <c r="C242" s="431"/>
      <c r="D242" s="431"/>
      <c r="E242" s="433"/>
      <c r="F242" s="433"/>
      <c r="G242" s="441"/>
      <c r="H242" s="430"/>
      <c r="I242" s="442"/>
      <c r="J242" s="432"/>
      <c r="K242" s="431"/>
      <c r="L242" s="433"/>
      <c r="M242" s="431"/>
      <c r="N242" s="432"/>
      <c r="O242" s="431"/>
      <c r="P242" s="431"/>
      <c r="Q242" s="431"/>
      <c r="R242" s="431"/>
      <c r="S242" s="431"/>
      <c r="T242" s="431"/>
      <c r="U242" s="431"/>
      <c r="V242" s="433"/>
      <c r="W242" s="2"/>
      <c r="X242" s="2"/>
      <c r="Y242" s="2"/>
    </row>
    <row r="243" spans="1:25" ht="18.75" customHeight="1" x14ac:dyDescent="0.2">
      <c r="A243" s="434"/>
      <c r="B243" s="431"/>
      <c r="C243" s="431"/>
      <c r="D243" s="431"/>
      <c r="E243" s="433"/>
      <c r="F243" s="433"/>
      <c r="G243" s="441"/>
      <c r="H243" s="430"/>
      <c r="I243" s="442"/>
      <c r="J243" s="432"/>
      <c r="K243" s="431"/>
      <c r="L243" s="433"/>
      <c r="M243" s="431"/>
      <c r="N243" s="432"/>
      <c r="O243" s="431"/>
      <c r="P243" s="431"/>
      <c r="Q243" s="431"/>
      <c r="R243" s="431"/>
      <c r="S243" s="431"/>
      <c r="T243" s="431"/>
      <c r="U243" s="431"/>
      <c r="V243" s="433"/>
      <c r="W243" s="2"/>
      <c r="X243" s="2"/>
      <c r="Y243" s="2"/>
    </row>
    <row r="244" spans="1:25" ht="18.75" customHeight="1" x14ac:dyDescent="0.2">
      <c r="A244" s="434"/>
      <c r="B244" s="431"/>
      <c r="C244" s="431"/>
      <c r="D244" s="431"/>
      <c r="E244" s="433"/>
      <c r="F244" s="433"/>
      <c r="G244" s="441"/>
      <c r="H244" s="430"/>
      <c r="I244" s="442"/>
      <c r="J244" s="432"/>
      <c r="K244" s="431"/>
      <c r="L244" s="433"/>
      <c r="M244" s="431"/>
      <c r="N244" s="432"/>
      <c r="O244" s="431"/>
      <c r="P244" s="431"/>
      <c r="Q244" s="431"/>
      <c r="R244" s="431"/>
      <c r="S244" s="431"/>
      <c r="T244" s="431"/>
      <c r="U244" s="431"/>
      <c r="V244" s="433"/>
      <c r="W244" s="2"/>
      <c r="X244" s="2"/>
      <c r="Y244" s="2"/>
    </row>
    <row r="245" spans="1:25" ht="18.75" customHeight="1" x14ac:dyDescent="0.2">
      <c r="A245" s="434"/>
      <c r="B245" s="431"/>
      <c r="C245" s="431"/>
      <c r="D245" s="431"/>
      <c r="E245" s="433"/>
      <c r="F245" s="433"/>
      <c r="G245" s="441"/>
      <c r="H245" s="430"/>
      <c r="I245" s="442"/>
      <c r="J245" s="432"/>
      <c r="K245" s="431"/>
      <c r="L245" s="433"/>
      <c r="M245" s="431"/>
      <c r="N245" s="432"/>
      <c r="O245" s="431"/>
      <c r="P245" s="431"/>
      <c r="Q245" s="431"/>
      <c r="R245" s="431"/>
      <c r="S245" s="431"/>
      <c r="T245" s="431"/>
      <c r="U245" s="431"/>
      <c r="V245" s="433"/>
      <c r="W245" s="2"/>
      <c r="X245" s="2"/>
      <c r="Y245" s="2"/>
    </row>
    <row r="246" spans="1:25" ht="18.75" customHeight="1" x14ac:dyDescent="0.2">
      <c r="A246" s="434"/>
      <c r="B246" s="431"/>
      <c r="C246" s="431"/>
      <c r="D246" s="431"/>
      <c r="E246" s="433"/>
      <c r="F246" s="433"/>
      <c r="G246" s="441"/>
      <c r="H246" s="430"/>
      <c r="I246" s="442"/>
      <c r="J246" s="432"/>
      <c r="K246" s="431"/>
      <c r="L246" s="433"/>
      <c r="M246" s="431"/>
      <c r="N246" s="432"/>
      <c r="O246" s="431"/>
      <c r="P246" s="431"/>
      <c r="Q246" s="431"/>
      <c r="R246" s="431"/>
      <c r="S246" s="431"/>
      <c r="T246" s="431"/>
      <c r="U246" s="431"/>
      <c r="V246" s="433"/>
      <c r="W246" s="2"/>
      <c r="X246" s="2"/>
      <c r="Y246" s="2"/>
    </row>
    <row r="247" spans="1:25" ht="18.75" customHeight="1" x14ac:dyDescent="0.2">
      <c r="A247" s="434"/>
      <c r="B247" s="431"/>
      <c r="C247" s="431"/>
      <c r="D247" s="431"/>
      <c r="E247" s="433"/>
      <c r="F247" s="433"/>
      <c r="G247" s="441"/>
      <c r="H247" s="430"/>
      <c r="I247" s="442"/>
      <c r="J247" s="432"/>
      <c r="K247" s="431"/>
      <c r="L247" s="433"/>
      <c r="M247" s="431"/>
      <c r="N247" s="432"/>
      <c r="O247" s="431"/>
      <c r="P247" s="431"/>
      <c r="Q247" s="431"/>
      <c r="R247" s="431"/>
      <c r="S247" s="431"/>
      <c r="T247" s="431"/>
      <c r="U247" s="431"/>
      <c r="V247" s="433"/>
      <c r="W247" s="2"/>
      <c r="X247" s="2"/>
      <c r="Y247" s="2"/>
    </row>
    <row r="248" spans="1:25" ht="18.75" customHeight="1" x14ac:dyDescent="0.2">
      <c r="A248" s="434"/>
      <c r="B248" s="431"/>
      <c r="C248" s="431"/>
      <c r="D248" s="431"/>
      <c r="E248" s="433"/>
      <c r="F248" s="433"/>
      <c r="G248" s="441"/>
      <c r="H248" s="430"/>
      <c r="I248" s="442"/>
      <c r="J248" s="432"/>
      <c r="K248" s="431"/>
      <c r="L248" s="433"/>
      <c r="M248" s="431"/>
      <c r="N248" s="432"/>
      <c r="O248" s="431"/>
      <c r="P248" s="431"/>
      <c r="Q248" s="431"/>
      <c r="R248" s="431"/>
      <c r="S248" s="431"/>
      <c r="T248" s="431"/>
      <c r="U248" s="431"/>
      <c r="V248" s="433"/>
      <c r="W248" s="2"/>
      <c r="X248" s="2"/>
      <c r="Y248" s="2"/>
    </row>
    <row r="249" spans="1:25" ht="18.75" customHeight="1" x14ac:dyDescent="0.2">
      <c r="A249" s="434"/>
      <c r="B249" s="431"/>
      <c r="C249" s="431"/>
      <c r="D249" s="431"/>
      <c r="E249" s="433"/>
      <c r="F249" s="433"/>
      <c r="G249" s="441"/>
      <c r="H249" s="430"/>
      <c r="I249" s="442"/>
      <c r="J249" s="432"/>
      <c r="K249" s="431"/>
      <c r="L249" s="433"/>
      <c r="M249" s="431"/>
      <c r="N249" s="432"/>
      <c r="O249" s="431"/>
      <c r="P249" s="431"/>
      <c r="Q249" s="431"/>
      <c r="R249" s="431"/>
      <c r="S249" s="431"/>
      <c r="T249" s="431"/>
      <c r="U249" s="431"/>
      <c r="V249" s="433"/>
      <c r="W249" s="2"/>
      <c r="X249" s="2"/>
      <c r="Y249" s="2"/>
    </row>
    <row r="250" spans="1:25" ht="18.75" customHeight="1" x14ac:dyDescent="0.2">
      <c r="A250" s="434"/>
      <c r="B250" s="431"/>
      <c r="C250" s="431"/>
      <c r="D250" s="431"/>
      <c r="E250" s="433"/>
      <c r="F250" s="433"/>
      <c r="G250" s="441"/>
      <c r="H250" s="430"/>
      <c r="I250" s="442"/>
      <c r="J250" s="432"/>
      <c r="K250" s="431"/>
      <c r="L250" s="433"/>
      <c r="M250" s="431"/>
      <c r="N250" s="432"/>
      <c r="O250" s="431"/>
      <c r="P250" s="431"/>
      <c r="Q250" s="431"/>
      <c r="R250" s="431"/>
      <c r="S250" s="431"/>
      <c r="T250" s="431"/>
      <c r="U250" s="431"/>
      <c r="V250" s="433"/>
      <c r="W250" s="2"/>
      <c r="X250" s="2"/>
      <c r="Y250" s="2"/>
    </row>
    <row r="251" spans="1:25" ht="18.75" customHeight="1" x14ac:dyDescent="0.2">
      <c r="A251" s="434"/>
      <c r="B251" s="431"/>
      <c r="C251" s="431"/>
      <c r="D251" s="431"/>
      <c r="E251" s="433"/>
      <c r="F251" s="433"/>
      <c r="G251" s="441"/>
      <c r="H251" s="430"/>
      <c r="I251" s="442"/>
      <c r="J251" s="432"/>
      <c r="K251" s="431"/>
      <c r="L251" s="433"/>
      <c r="M251" s="431"/>
      <c r="N251" s="432"/>
      <c r="O251" s="431"/>
      <c r="P251" s="431"/>
      <c r="Q251" s="431"/>
      <c r="R251" s="431"/>
      <c r="S251" s="431"/>
      <c r="T251" s="431"/>
      <c r="U251" s="431"/>
      <c r="V251" s="433"/>
      <c r="W251" s="2"/>
      <c r="X251" s="2"/>
      <c r="Y251" s="2"/>
    </row>
    <row r="252" spans="1:25" ht="18.75" customHeight="1" x14ac:dyDescent="0.2">
      <c r="A252" s="434"/>
      <c r="B252" s="431"/>
      <c r="C252" s="431"/>
      <c r="D252" s="431"/>
      <c r="E252" s="433"/>
      <c r="F252" s="433"/>
      <c r="G252" s="441"/>
      <c r="H252" s="430"/>
      <c r="I252" s="442"/>
      <c r="J252" s="432"/>
      <c r="K252" s="431"/>
      <c r="L252" s="433"/>
      <c r="M252" s="431"/>
      <c r="N252" s="432"/>
      <c r="O252" s="431"/>
      <c r="P252" s="431"/>
      <c r="Q252" s="431"/>
      <c r="R252" s="431"/>
      <c r="S252" s="431"/>
      <c r="T252" s="431"/>
      <c r="U252" s="431"/>
      <c r="V252" s="433"/>
      <c r="W252" s="2"/>
      <c r="X252" s="2"/>
      <c r="Y252" s="2"/>
    </row>
    <row r="253" spans="1:25" ht="18.75" customHeight="1" x14ac:dyDescent="0.2">
      <c r="A253" s="434"/>
      <c r="B253" s="431"/>
      <c r="C253" s="431"/>
      <c r="D253" s="431"/>
      <c r="E253" s="431"/>
      <c r="F253" s="431"/>
      <c r="G253" s="431"/>
      <c r="H253" s="431"/>
      <c r="I253" s="443"/>
      <c r="J253" s="431"/>
      <c r="K253" s="431"/>
      <c r="L253" s="431"/>
      <c r="M253" s="431"/>
      <c r="N253" s="431"/>
      <c r="O253" s="431"/>
      <c r="P253" s="431"/>
      <c r="Q253" s="431"/>
      <c r="R253" s="431"/>
      <c r="S253" s="431"/>
      <c r="T253" s="431"/>
      <c r="U253" s="431"/>
      <c r="V253" s="433"/>
      <c r="W253" s="2"/>
      <c r="X253" s="2"/>
      <c r="Y253" s="2"/>
    </row>
    <row r="254" spans="1:25" ht="18.75" customHeight="1" x14ac:dyDescent="0.2">
      <c r="A254" s="434"/>
      <c r="B254" s="431"/>
      <c r="C254" s="431"/>
      <c r="D254" s="431"/>
      <c r="E254" s="431"/>
      <c r="F254" s="431"/>
      <c r="G254" s="431"/>
      <c r="H254" s="431"/>
      <c r="I254" s="443"/>
      <c r="J254" s="431"/>
      <c r="K254" s="431"/>
      <c r="L254" s="431"/>
      <c r="M254" s="431"/>
      <c r="N254" s="431"/>
      <c r="O254" s="431"/>
      <c r="P254" s="431"/>
      <c r="Q254" s="431"/>
      <c r="R254" s="431"/>
      <c r="S254" s="431"/>
      <c r="T254" s="431"/>
      <c r="U254" s="431"/>
      <c r="V254" s="433"/>
      <c r="W254" s="2"/>
      <c r="X254" s="2"/>
      <c r="Y254" s="2"/>
    </row>
    <row r="255" spans="1:25" ht="18.75" customHeight="1" x14ac:dyDescent="0.2">
      <c r="A255" s="434"/>
      <c r="B255" s="431"/>
      <c r="C255" s="431"/>
      <c r="D255" s="431"/>
      <c r="E255" s="431"/>
      <c r="F255" s="431"/>
      <c r="G255" s="431"/>
      <c r="H255" s="431"/>
      <c r="I255" s="443"/>
      <c r="J255" s="431"/>
      <c r="K255" s="431"/>
      <c r="L255" s="431"/>
      <c r="M255" s="431"/>
      <c r="N255" s="431"/>
      <c r="O255" s="431"/>
      <c r="P255" s="431"/>
      <c r="Q255" s="431"/>
      <c r="R255" s="431"/>
      <c r="S255" s="431"/>
      <c r="T255" s="431"/>
      <c r="U255" s="431"/>
      <c r="V255" s="433"/>
      <c r="W255" s="2"/>
      <c r="X255" s="2"/>
      <c r="Y255" s="2"/>
    </row>
    <row r="256" spans="1:25" ht="18.75" customHeight="1" x14ac:dyDescent="0.2">
      <c r="A256" s="434"/>
      <c r="B256" s="431"/>
      <c r="C256" s="431"/>
      <c r="D256" s="431"/>
      <c r="E256" s="431"/>
      <c r="F256" s="431"/>
      <c r="G256" s="431"/>
      <c r="H256" s="431"/>
      <c r="I256" s="443"/>
      <c r="J256" s="431"/>
      <c r="K256" s="431"/>
      <c r="L256" s="431"/>
      <c r="M256" s="431"/>
      <c r="N256" s="431"/>
      <c r="O256" s="431"/>
      <c r="P256" s="431"/>
      <c r="Q256" s="431"/>
      <c r="R256" s="431"/>
      <c r="S256" s="431"/>
      <c r="T256" s="431"/>
      <c r="U256" s="431"/>
      <c r="V256" s="433"/>
      <c r="W256" s="2"/>
      <c r="X256" s="2"/>
      <c r="Y256" s="2"/>
    </row>
    <row r="257" spans="1:25" ht="18.75" customHeight="1" x14ac:dyDescent="0.2">
      <c r="A257" s="434"/>
      <c r="B257" s="431"/>
      <c r="C257" s="431"/>
      <c r="D257" s="431"/>
      <c r="E257" s="431"/>
      <c r="F257" s="431"/>
      <c r="G257" s="431"/>
      <c r="H257" s="431"/>
      <c r="I257" s="443"/>
      <c r="J257" s="431"/>
      <c r="K257" s="431"/>
      <c r="L257" s="431"/>
      <c r="M257" s="431"/>
      <c r="N257" s="431"/>
      <c r="O257" s="431"/>
      <c r="P257" s="431"/>
      <c r="Q257" s="431"/>
      <c r="R257" s="431"/>
      <c r="S257" s="431"/>
      <c r="T257" s="431"/>
      <c r="U257" s="431"/>
      <c r="V257" s="433"/>
      <c r="W257" s="2"/>
      <c r="X257" s="2"/>
      <c r="Y257" s="2"/>
    </row>
    <row r="258" spans="1:25" ht="18.75" customHeight="1" x14ac:dyDescent="0.2">
      <c r="A258" s="434"/>
      <c r="B258" s="431"/>
      <c r="C258" s="431"/>
      <c r="D258" s="431"/>
      <c r="E258" s="431"/>
      <c r="F258" s="431"/>
      <c r="G258" s="431"/>
      <c r="H258" s="431"/>
      <c r="I258" s="443"/>
      <c r="J258" s="431"/>
      <c r="K258" s="431"/>
      <c r="L258" s="431"/>
      <c r="M258" s="431"/>
      <c r="N258" s="431"/>
      <c r="O258" s="431"/>
      <c r="P258" s="431"/>
      <c r="Q258" s="431"/>
      <c r="R258" s="431"/>
      <c r="S258" s="431"/>
      <c r="T258" s="431"/>
      <c r="U258" s="431"/>
      <c r="V258" s="433"/>
      <c r="W258" s="2"/>
      <c r="X258" s="2"/>
      <c r="Y258" s="2"/>
    </row>
    <row r="259" spans="1:25" ht="18.75" customHeight="1" x14ac:dyDescent="0.2">
      <c r="A259" s="434"/>
      <c r="B259" s="431"/>
      <c r="C259" s="431"/>
      <c r="D259" s="431"/>
      <c r="E259" s="431"/>
      <c r="F259" s="431"/>
      <c r="G259" s="431"/>
      <c r="H259" s="431"/>
      <c r="I259" s="443"/>
      <c r="J259" s="431"/>
      <c r="K259" s="431"/>
      <c r="L259" s="431"/>
      <c r="M259" s="431"/>
      <c r="N259" s="431"/>
      <c r="O259" s="431"/>
      <c r="P259" s="431"/>
      <c r="Q259" s="431"/>
      <c r="R259" s="431"/>
      <c r="S259" s="431"/>
      <c r="T259" s="431"/>
      <c r="U259" s="431"/>
      <c r="V259" s="433"/>
      <c r="W259" s="2"/>
      <c r="X259" s="2"/>
      <c r="Y259" s="2"/>
    </row>
    <row r="260" spans="1:25" ht="18.75" customHeight="1" x14ac:dyDescent="0.2">
      <c r="A260" s="434"/>
      <c r="B260" s="431"/>
      <c r="C260" s="431"/>
      <c r="D260" s="431"/>
      <c r="E260" s="431"/>
      <c r="F260" s="431"/>
      <c r="G260" s="431"/>
      <c r="H260" s="431"/>
      <c r="I260" s="443"/>
      <c r="J260" s="431"/>
      <c r="K260" s="431"/>
      <c r="L260" s="431"/>
      <c r="M260" s="431"/>
      <c r="N260" s="431"/>
      <c r="O260" s="431"/>
      <c r="P260" s="431"/>
      <c r="Q260" s="431"/>
      <c r="R260" s="431"/>
      <c r="S260" s="431"/>
      <c r="T260" s="431"/>
      <c r="U260" s="431"/>
      <c r="V260" s="433"/>
      <c r="W260" s="2"/>
      <c r="X260" s="2"/>
      <c r="Y260" s="2"/>
    </row>
    <row r="261" spans="1:25" ht="18.75" customHeight="1" x14ac:dyDescent="0.2">
      <c r="A261" s="434"/>
      <c r="B261" s="431"/>
      <c r="C261" s="431"/>
      <c r="D261" s="431"/>
      <c r="E261" s="431"/>
      <c r="F261" s="431"/>
      <c r="G261" s="431"/>
      <c r="H261" s="431"/>
      <c r="I261" s="443"/>
      <c r="J261" s="431"/>
      <c r="K261" s="431"/>
      <c r="L261" s="431"/>
      <c r="M261" s="431"/>
      <c r="N261" s="431"/>
      <c r="O261" s="431"/>
      <c r="P261" s="431"/>
      <c r="Q261" s="431"/>
      <c r="R261" s="431"/>
      <c r="S261" s="431"/>
      <c r="T261" s="431"/>
      <c r="U261" s="431"/>
      <c r="V261" s="433"/>
      <c r="W261" s="2"/>
      <c r="X261" s="2"/>
      <c r="Y261" s="2"/>
    </row>
    <row r="262" spans="1:25" ht="18.75" customHeight="1" x14ac:dyDescent="0.2">
      <c r="A262" s="434"/>
      <c r="B262" s="431"/>
      <c r="C262" s="431"/>
      <c r="D262" s="431"/>
      <c r="E262" s="431"/>
      <c r="F262" s="431"/>
      <c r="G262" s="431"/>
      <c r="H262" s="431"/>
      <c r="I262" s="443"/>
      <c r="J262" s="431"/>
      <c r="K262" s="431"/>
      <c r="L262" s="431"/>
      <c r="M262" s="431"/>
      <c r="N262" s="431"/>
      <c r="O262" s="431"/>
      <c r="P262" s="431"/>
      <c r="Q262" s="431"/>
      <c r="R262" s="431"/>
      <c r="S262" s="431"/>
      <c r="T262" s="431"/>
      <c r="U262" s="431"/>
      <c r="V262" s="433"/>
      <c r="W262" s="2"/>
      <c r="X262" s="2"/>
      <c r="Y262" s="2"/>
    </row>
    <row r="263" spans="1:25" ht="18.75" customHeight="1" x14ac:dyDescent="0.2">
      <c r="A263" s="434"/>
      <c r="B263" s="431"/>
      <c r="C263" s="431"/>
      <c r="D263" s="431"/>
      <c r="E263" s="431"/>
      <c r="F263" s="431"/>
      <c r="G263" s="431"/>
      <c r="H263" s="431"/>
      <c r="I263" s="443"/>
      <c r="J263" s="431"/>
      <c r="K263" s="431"/>
      <c r="L263" s="431"/>
      <c r="M263" s="431"/>
      <c r="N263" s="431"/>
      <c r="O263" s="431"/>
      <c r="P263" s="431"/>
      <c r="Q263" s="431"/>
      <c r="R263" s="431"/>
      <c r="S263" s="431"/>
      <c r="T263" s="431"/>
      <c r="U263" s="431"/>
      <c r="V263" s="433"/>
      <c r="W263" s="2"/>
      <c r="X263" s="2"/>
      <c r="Y263" s="2"/>
    </row>
    <row r="264" spans="1:25" ht="18.75" customHeight="1" x14ac:dyDescent="0.2">
      <c r="A264" s="434"/>
      <c r="B264" s="431"/>
      <c r="C264" s="431"/>
      <c r="D264" s="431"/>
      <c r="E264" s="431"/>
      <c r="F264" s="431"/>
      <c r="G264" s="431"/>
      <c r="H264" s="431"/>
      <c r="I264" s="443"/>
      <c r="J264" s="431"/>
      <c r="K264" s="431"/>
      <c r="L264" s="431"/>
      <c r="M264" s="431"/>
      <c r="N264" s="431"/>
      <c r="O264" s="431"/>
      <c r="P264" s="431"/>
      <c r="Q264" s="431"/>
      <c r="R264" s="431"/>
      <c r="S264" s="431"/>
      <c r="T264" s="431"/>
      <c r="U264" s="431"/>
      <c r="V264" s="433"/>
      <c r="W264" s="2"/>
      <c r="X264" s="2"/>
      <c r="Y264" s="2"/>
    </row>
    <row r="265" spans="1:25" ht="18.75" customHeight="1" x14ac:dyDescent="0.2">
      <c r="A265" s="434"/>
      <c r="B265" s="431"/>
      <c r="C265" s="431"/>
      <c r="D265" s="431"/>
      <c r="E265" s="431"/>
      <c r="F265" s="431"/>
      <c r="G265" s="431"/>
      <c r="H265" s="431"/>
      <c r="I265" s="443"/>
      <c r="J265" s="431"/>
      <c r="K265" s="431"/>
      <c r="L265" s="431"/>
      <c r="M265" s="431"/>
      <c r="N265" s="431"/>
      <c r="O265" s="431"/>
      <c r="P265" s="431"/>
      <c r="Q265" s="431"/>
      <c r="R265" s="431"/>
      <c r="S265" s="431"/>
      <c r="T265" s="431"/>
      <c r="U265" s="431"/>
      <c r="V265" s="433"/>
      <c r="W265" s="2"/>
      <c r="X265" s="2"/>
      <c r="Y265" s="2"/>
    </row>
    <row r="266" spans="1:25" ht="18.75" customHeight="1" x14ac:dyDescent="0.2">
      <c r="A266" s="434"/>
      <c r="B266" s="431"/>
      <c r="C266" s="431"/>
      <c r="D266" s="431"/>
      <c r="E266" s="431"/>
      <c r="F266" s="431"/>
      <c r="G266" s="431"/>
      <c r="H266" s="431"/>
      <c r="I266" s="443"/>
      <c r="J266" s="431"/>
      <c r="K266" s="431"/>
      <c r="L266" s="431"/>
      <c r="M266" s="431"/>
      <c r="N266" s="431"/>
      <c r="O266" s="431"/>
      <c r="P266" s="431"/>
      <c r="Q266" s="431"/>
      <c r="R266" s="431"/>
      <c r="S266" s="431"/>
      <c r="T266" s="431"/>
      <c r="U266" s="431"/>
      <c r="V266" s="433"/>
      <c r="W266" s="2"/>
      <c r="X266" s="2"/>
      <c r="Y266" s="2"/>
    </row>
    <row r="267" spans="1:25" ht="18.75" customHeight="1" x14ac:dyDescent="0.2">
      <c r="A267" s="434"/>
      <c r="B267" s="431"/>
      <c r="C267" s="431"/>
      <c r="D267" s="431"/>
      <c r="E267" s="431"/>
      <c r="F267" s="431"/>
      <c r="G267" s="431"/>
      <c r="H267" s="431"/>
      <c r="I267" s="443"/>
      <c r="J267" s="431"/>
      <c r="K267" s="431"/>
      <c r="L267" s="431"/>
      <c r="M267" s="431"/>
      <c r="N267" s="431"/>
      <c r="O267" s="431"/>
      <c r="P267" s="431"/>
      <c r="Q267" s="431"/>
      <c r="R267" s="431"/>
      <c r="S267" s="431"/>
      <c r="T267" s="431"/>
      <c r="U267" s="431"/>
      <c r="V267" s="433"/>
      <c r="W267" s="2"/>
      <c r="X267" s="2"/>
      <c r="Y267" s="2"/>
    </row>
    <row r="268" spans="1:25" ht="18.75" customHeight="1" x14ac:dyDescent="0.2">
      <c r="A268" s="434"/>
      <c r="B268" s="431"/>
      <c r="C268" s="431"/>
      <c r="D268" s="431"/>
      <c r="E268" s="431"/>
      <c r="F268" s="431"/>
      <c r="G268" s="431"/>
      <c r="H268" s="431"/>
      <c r="I268" s="443"/>
      <c r="J268" s="431"/>
      <c r="K268" s="431"/>
      <c r="L268" s="431"/>
      <c r="M268" s="431"/>
      <c r="N268" s="431"/>
      <c r="O268" s="431"/>
      <c r="P268" s="431"/>
      <c r="Q268" s="431"/>
      <c r="R268" s="431"/>
      <c r="S268" s="431"/>
      <c r="T268" s="431"/>
      <c r="U268" s="431"/>
      <c r="V268" s="433"/>
      <c r="W268" s="2"/>
      <c r="X268" s="2"/>
      <c r="Y268" s="2"/>
    </row>
    <row r="269" spans="1:25" ht="18.75" customHeight="1" x14ac:dyDescent="0.2">
      <c r="A269" s="434"/>
      <c r="B269" s="431"/>
      <c r="C269" s="431"/>
      <c r="D269" s="431"/>
      <c r="E269" s="431"/>
      <c r="F269" s="431"/>
      <c r="G269" s="431"/>
      <c r="H269" s="431"/>
      <c r="I269" s="443"/>
      <c r="J269" s="431"/>
      <c r="K269" s="431"/>
      <c r="L269" s="431"/>
      <c r="M269" s="431"/>
      <c r="N269" s="431"/>
      <c r="O269" s="431"/>
      <c r="P269" s="431"/>
      <c r="Q269" s="431"/>
      <c r="R269" s="431"/>
      <c r="S269" s="431"/>
      <c r="T269" s="431"/>
      <c r="U269" s="431"/>
      <c r="V269" s="433"/>
      <c r="W269" s="2"/>
      <c r="X269" s="2"/>
      <c r="Y269" s="2"/>
    </row>
    <row r="270" spans="1:25" ht="18.75" customHeight="1" x14ac:dyDescent="0.2">
      <c r="A270" s="434"/>
      <c r="B270" s="431"/>
      <c r="C270" s="431"/>
      <c r="D270" s="431"/>
      <c r="E270" s="431"/>
      <c r="F270" s="431"/>
      <c r="G270" s="431"/>
      <c r="H270" s="431"/>
      <c r="I270" s="443"/>
      <c r="J270" s="431"/>
      <c r="K270" s="431"/>
      <c r="L270" s="431"/>
      <c r="M270" s="431"/>
      <c r="N270" s="431"/>
      <c r="O270" s="431"/>
      <c r="P270" s="431"/>
      <c r="Q270" s="431"/>
      <c r="R270" s="431"/>
      <c r="S270" s="431"/>
      <c r="T270" s="431"/>
      <c r="U270" s="431"/>
      <c r="V270" s="433"/>
      <c r="W270" s="2"/>
      <c r="X270" s="2"/>
      <c r="Y270" s="2"/>
    </row>
    <row r="271" spans="1:25" ht="18.75" customHeight="1" x14ac:dyDescent="0.2">
      <c r="A271" s="434"/>
      <c r="B271" s="431"/>
      <c r="C271" s="431"/>
      <c r="D271" s="431"/>
      <c r="E271" s="431"/>
      <c r="F271" s="431"/>
      <c r="G271" s="431"/>
      <c r="H271" s="431"/>
      <c r="I271" s="443"/>
      <c r="J271" s="431"/>
      <c r="K271" s="431"/>
      <c r="L271" s="431"/>
      <c r="M271" s="431"/>
      <c r="N271" s="431"/>
      <c r="O271" s="431"/>
      <c r="P271" s="431"/>
      <c r="Q271" s="431"/>
      <c r="R271" s="431"/>
      <c r="S271" s="431"/>
      <c r="T271" s="431"/>
      <c r="U271" s="431"/>
      <c r="V271" s="433"/>
      <c r="W271" s="2"/>
      <c r="X271" s="2"/>
      <c r="Y271" s="2"/>
    </row>
    <row r="272" spans="1:25" ht="18.75" customHeight="1" x14ac:dyDescent="0.2">
      <c r="A272" s="434"/>
      <c r="B272" s="431"/>
      <c r="C272" s="431"/>
      <c r="D272" s="431"/>
      <c r="E272" s="431"/>
      <c r="F272" s="431"/>
      <c r="G272" s="431"/>
      <c r="H272" s="431"/>
      <c r="I272" s="443"/>
      <c r="J272" s="431"/>
      <c r="K272" s="431"/>
      <c r="L272" s="431"/>
      <c r="M272" s="431"/>
      <c r="N272" s="431"/>
      <c r="O272" s="431"/>
      <c r="P272" s="431"/>
      <c r="Q272" s="431"/>
      <c r="R272" s="431"/>
      <c r="S272" s="431"/>
      <c r="T272" s="431"/>
      <c r="U272" s="431"/>
      <c r="V272" s="433"/>
      <c r="W272" s="2"/>
      <c r="X272" s="2"/>
      <c r="Y272" s="2"/>
    </row>
    <row r="273" spans="1:25" ht="18.75" customHeight="1" x14ac:dyDescent="0.2">
      <c r="A273" s="434"/>
      <c r="B273" s="431"/>
      <c r="C273" s="431"/>
      <c r="D273" s="431"/>
      <c r="E273" s="431"/>
      <c r="F273" s="431"/>
      <c r="G273" s="431"/>
      <c r="H273" s="431"/>
      <c r="I273" s="443"/>
      <c r="J273" s="431"/>
      <c r="K273" s="431"/>
      <c r="L273" s="431"/>
      <c r="M273" s="431"/>
      <c r="N273" s="431"/>
      <c r="O273" s="431"/>
      <c r="P273" s="431"/>
      <c r="Q273" s="431"/>
      <c r="R273" s="431"/>
      <c r="S273" s="431"/>
      <c r="T273" s="431"/>
      <c r="U273" s="431"/>
      <c r="V273" s="433"/>
      <c r="W273" s="2"/>
      <c r="X273" s="2"/>
      <c r="Y273" s="2"/>
    </row>
    <row r="274" spans="1:25" ht="18.75" customHeight="1" x14ac:dyDescent="0.2">
      <c r="A274" s="434"/>
      <c r="B274" s="431"/>
      <c r="C274" s="431"/>
      <c r="D274" s="431"/>
      <c r="E274" s="431"/>
      <c r="F274" s="431"/>
      <c r="G274" s="431"/>
      <c r="H274" s="431"/>
      <c r="I274" s="443"/>
      <c r="J274" s="431"/>
      <c r="K274" s="431"/>
      <c r="L274" s="431"/>
      <c r="M274" s="431"/>
      <c r="N274" s="431"/>
      <c r="O274" s="431"/>
      <c r="P274" s="431"/>
      <c r="Q274" s="431"/>
      <c r="R274" s="431"/>
      <c r="S274" s="431"/>
      <c r="T274" s="431"/>
      <c r="U274" s="431"/>
      <c r="V274" s="433"/>
      <c r="W274" s="2"/>
      <c r="X274" s="2"/>
      <c r="Y274" s="2"/>
    </row>
    <row r="275" spans="1:25" ht="18.75" customHeight="1" x14ac:dyDescent="0.2">
      <c r="A275" s="434"/>
      <c r="B275" s="431"/>
      <c r="C275" s="431"/>
      <c r="D275" s="431"/>
      <c r="E275" s="431"/>
      <c r="F275" s="431"/>
      <c r="G275" s="431"/>
      <c r="H275" s="431"/>
      <c r="I275" s="443"/>
      <c r="J275" s="431"/>
      <c r="K275" s="431"/>
      <c r="L275" s="431"/>
      <c r="M275" s="431"/>
      <c r="N275" s="431"/>
      <c r="O275" s="431"/>
      <c r="P275" s="431"/>
      <c r="Q275" s="431"/>
      <c r="R275" s="431"/>
      <c r="S275" s="431"/>
      <c r="T275" s="431"/>
      <c r="U275" s="431"/>
      <c r="V275" s="433"/>
      <c r="W275" s="2"/>
      <c r="X275" s="2"/>
      <c r="Y275" s="2"/>
    </row>
    <row r="276" spans="1:25" ht="18.75" customHeight="1" x14ac:dyDescent="0.2">
      <c r="A276" s="434"/>
      <c r="B276" s="431"/>
      <c r="C276" s="431"/>
      <c r="D276" s="431"/>
      <c r="E276" s="431"/>
      <c r="F276" s="431"/>
      <c r="G276" s="431"/>
      <c r="H276" s="431"/>
      <c r="I276" s="443"/>
      <c r="J276" s="431"/>
      <c r="K276" s="431"/>
      <c r="L276" s="431"/>
      <c r="M276" s="431"/>
      <c r="N276" s="431"/>
      <c r="O276" s="431"/>
      <c r="P276" s="431"/>
      <c r="Q276" s="431"/>
      <c r="R276" s="431"/>
      <c r="S276" s="431"/>
      <c r="T276" s="431"/>
      <c r="U276" s="431"/>
      <c r="V276" s="433"/>
      <c r="W276" s="2"/>
      <c r="X276" s="2"/>
      <c r="Y276" s="2"/>
    </row>
    <row r="277" spans="1:25" ht="18.75" customHeight="1" x14ac:dyDescent="0.2">
      <c r="A277" s="434"/>
      <c r="B277" s="431"/>
      <c r="C277" s="431"/>
      <c r="D277" s="431"/>
      <c r="E277" s="431"/>
      <c r="F277" s="431"/>
      <c r="G277" s="431"/>
      <c r="H277" s="431"/>
      <c r="I277" s="443"/>
      <c r="J277" s="431"/>
      <c r="K277" s="431"/>
      <c r="L277" s="431"/>
      <c r="M277" s="431"/>
      <c r="N277" s="431"/>
      <c r="O277" s="431"/>
      <c r="P277" s="431"/>
      <c r="Q277" s="431"/>
      <c r="R277" s="431"/>
      <c r="S277" s="431"/>
      <c r="T277" s="431"/>
      <c r="U277" s="431"/>
      <c r="V277" s="433"/>
      <c r="W277" s="2"/>
      <c r="X277" s="2"/>
      <c r="Y277" s="2"/>
    </row>
    <row r="278" spans="1:25" ht="18.75" customHeight="1" x14ac:dyDescent="0.2">
      <c r="A278" s="434"/>
      <c r="B278" s="431"/>
      <c r="C278" s="431"/>
      <c r="D278" s="431"/>
      <c r="E278" s="431"/>
      <c r="F278" s="431"/>
      <c r="G278" s="431"/>
      <c r="H278" s="431"/>
      <c r="I278" s="443"/>
      <c r="J278" s="431"/>
      <c r="K278" s="431"/>
      <c r="L278" s="431"/>
      <c r="M278" s="431"/>
      <c r="N278" s="431"/>
      <c r="O278" s="431"/>
      <c r="P278" s="431"/>
      <c r="Q278" s="431"/>
      <c r="R278" s="431"/>
      <c r="S278" s="431"/>
      <c r="T278" s="431"/>
      <c r="U278" s="431"/>
      <c r="V278" s="433"/>
      <c r="W278" s="2"/>
      <c r="X278" s="2"/>
      <c r="Y278" s="2"/>
    </row>
    <row r="279" spans="1:25" ht="18.75" customHeight="1" x14ac:dyDescent="0.2">
      <c r="A279" s="434"/>
      <c r="B279" s="431"/>
      <c r="C279" s="431"/>
      <c r="D279" s="431"/>
      <c r="E279" s="431"/>
      <c r="F279" s="431"/>
      <c r="G279" s="431"/>
      <c r="H279" s="431"/>
      <c r="I279" s="443"/>
      <c r="J279" s="431"/>
      <c r="K279" s="431"/>
      <c r="L279" s="431"/>
      <c r="M279" s="431"/>
      <c r="N279" s="431"/>
      <c r="O279" s="431"/>
      <c r="P279" s="431"/>
      <c r="Q279" s="431"/>
      <c r="R279" s="431"/>
      <c r="S279" s="431"/>
      <c r="T279" s="431"/>
      <c r="U279" s="431"/>
      <c r="V279" s="433"/>
      <c r="W279" s="2"/>
      <c r="X279" s="2"/>
      <c r="Y279" s="2"/>
    </row>
    <row r="280" spans="1:25" ht="18.75" customHeight="1" x14ac:dyDescent="0.2">
      <c r="A280" s="434"/>
      <c r="B280" s="431"/>
      <c r="C280" s="431"/>
      <c r="D280" s="431"/>
      <c r="E280" s="431"/>
      <c r="F280" s="431"/>
      <c r="G280" s="431"/>
      <c r="H280" s="431"/>
      <c r="I280" s="443"/>
      <c r="J280" s="431"/>
      <c r="K280" s="431"/>
      <c r="L280" s="431"/>
      <c r="M280" s="431"/>
      <c r="N280" s="431"/>
      <c r="O280" s="431"/>
      <c r="P280" s="431"/>
      <c r="Q280" s="431"/>
      <c r="R280" s="431"/>
      <c r="S280" s="431"/>
      <c r="T280" s="431"/>
      <c r="U280" s="431"/>
      <c r="V280" s="433"/>
      <c r="W280" s="2"/>
      <c r="X280" s="2"/>
      <c r="Y280" s="2"/>
    </row>
    <row r="281" spans="1:25" ht="18.75" customHeight="1" x14ac:dyDescent="0.2">
      <c r="A281" s="434"/>
      <c r="B281" s="431"/>
      <c r="C281" s="431"/>
      <c r="D281" s="431"/>
      <c r="E281" s="431"/>
      <c r="F281" s="431"/>
      <c r="G281" s="431"/>
      <c r="H281" s="431"/>
      <c r="I281" s="443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431"/>
      <c r="U281" s="431"/>
      <c r="V281" s="433"/>
      <c r="W281" s="2"/>
      <c r="X281" s="2"/>
      <c r="Y281" s="2"/>
    </row>
    <row r="282" spans="1:25" ht="18.75" customHeight="1" x14ac:dyDescent="0.2">
      <c r="A282" s="434"/>
      <c r="B282" s="431"/>
      <c r="C282" s="431"/>
      <c r="D282" s="431"/>
      <c r="E282" s="431"/>
      <c r="F282" s="431"/>
      <c r="G282" s="431"/>
      <c r="H282" s="431"/>
      <c r="I282" s="443"/>
      <c r="J282" s="431"/>
      <c r="K282" s="431"/>
      <c r="L282" s="431"/>
      <c r="M282" s="431"/>
      <c r="N282" s="431"/>
      <c r="O282" s="431"/>
      <c r="P282" s="431"/>
      <c r="Q282" s="431"/>
      <c r="R282" s="431"/>
      <c r="S282" s="431"/>
      <c r="T282" s="431"/>
      <c r="U282" s="431"/>
      <c r="V282" s="433"/>
      <c r="W282" s="2"/>
      <c r="X282" s="2"/>
      <c r="Y282" s="2"/>
    </row>
    <row r="283" spans="1:25" ht="18.75" customHeight="1" x14ac:dyDescent="0.2">
      <c r="A283" s="434"/>
      <c r="B283" s="431"/>
      <c r="C283" s="431"/>
      <c r="D283" s="431"/>
      <c r="E283" s="431"/>
      <c r="F283" s="431"/>
      <c r="G283" s="431"/>
      <c r="H283" s="431"/>
      <c r="I283" s="443"/>
      <c r="J283" s="431"/>
      <c r="K283" s="431"/>
      <c r="L283" s="431"/>
      <c r="M283" s="431"/>
      <c r="N283" s="431"/>
      <c r="O283" s="431"/>
      <c r="P283" s="431"/>
      <c r="Q283" s="431"/>
      <c r="R283" s="431"/>
      <c r="S283" s="431"/>
      <c r="T283" s="431"/>
      <c r="U283" s="431"/>
      <c r="V283" s="433"/>
      <c r="W283" s="2"/>
      <c r="X283" s="2"/>
      <c r="Y283" s="2"/>
    </row>
    <row r="284" spans="1:25" ht="18.75" customHeight="1" x14ac:dyDescent="0.2">
      <c r="A284" s="434"/>
      <c r="B284" s="431"/>
      <c r="C284" s="431"/>
      <c r="D284" s="431"/>
      <c r="E284" s="431"/>
      <c r="F284" s="431"/>
      <c r="G284" s="431"/>
      <c r="H284" s="431"/>
      <c r="I284" s="443"/>
      <c r="J284" s="431"/>
      <c r="K284" s="431"/>
      <c r="L284" s="431"/>
      <c r="M284" s="431"/>
      <c r="N284" s="431"/>
      <c r="O284" s="431"/>
      <c r="P284" s="431"/>
      <c r="Q284" s="431"/>
      <c r="R284" s="431"/>
      <c r="S284" s="431"/>
      <c r="T284" s="431"/>
      <c r="U284" s="431"/>
      <c r="V284" s="433"/>
      <c r="W284" s="2"/>
      <c r="X284" s="2"/>
      <c r="Y284" s="2"/>
    </row>
    <row r="285" spans="1:25" ht="18.75" customHeight="1" x14ac:dyDescent="0.2">
      <c r="A285" s="434"/>
      <c r="B285" s="431"/>
      <c r="C285" s="431"/>
      <c r="D285" s="431"/>
      <c r="E285" s="431"/>
      <c r="F285" s="431"/>
      <c r="G285" s="431"/>
      <c r="H285" s="431"/>
      <c r="I285" s="443"/>
      <c r="J285" s="431"/>
      <c r="K285" s="431"/>
      <c r="L285" s="431"/>
      <c r="M285" s="431"/>
      <c r="N285" s="431"/>
      <c r="O285" s="431"/>
      <c r="P285" s="431"/>
      <c r="Q285" s="431"/>
      <c r="R285" s="431"/>
      <c r="S285" s="431"/>
      <c r="T285" s="431"/>
      <c r="U285" s="431"/>
      <c r="V285" s="433"/>
      <c r="W285" s="2"/>
      <c r="X285" s="2"/>
      <c r="Y285" s="2"/>
    </row>
    <row r="286" spans="1:25" ht="18.75" customHeight="1" x14ac:dyDescent="0.2">
      <c r="A286" s="434"/>
      <c r="B286" s="431"/>
      <c r="C286" s="431"/>
      <c r="D286" s="431"/>
      <c r="E286" s="431"/>
      <c r="F286" s="431"/>
      <c r="G286" s="431"/>
      <c r="H286" s="431"/>
      <c r="I286" s="443"/>
      <c r="J286" s="431"/>
      <c r="K286" s="431"/>
      <c r="L286" s="431"/>
      <c r="M286" s="431"/>
      <c r="N286" s="431"/>
      <c r="O286" s="431"/>
      <c r="P286" s="431"/>
      <c r="Q286" s="431"/>
      <c r="R286" s="431"/>
      <c r="S286" s="431"/>
      <c r="T286" s="431"/>
      <c r="U286" s="431"/>
      <c r="V286" s="433"/>
      <c r="W286" s="2"/>
      <c r="X286" s="2"/>
      <c r="Y286" s="2"/>
    </row>
    <row r="287" spans="1:25" ht="18.75" customHeight="1" x14ac:dyDescent="0.2">
      <c r="A287" s="434"/>
      <c r="B287" s="431"/>
      <c r="C287" s="431"/>
      <c r="D287" s="431"/>
      <c r="E287" s="431"/>
      <c r="F287" s="431"/>
      <c r="G287" s="431"/>
      <c r="H287" s="431"/>
      <c r="I287" s="443"/>
      <c r="J287" s="431"/>
      <c r="K287" s="431"/>
      <c r="L287" s="431"/>
      <c r="M287" s="431"/>
      <c r="N287" s="431"/>
      <c r="O287" s="431"/>
      <c r="P287" s="431"/>
      <c r="Q287" s="431"/>
      <c r="R287" s="431"/>
      <c r="S287" s="431"/>
      <c r="T287" s="431"/>
      <c r="U287" s="431"/>
      <c r="V287" s="433"/>
      <c r="W287" s="2"/>
      <c r="X287" s="2"/>
      <c r="Y287" s="2"/>
    </row>
    <row r="288" spans="1:25" ht="18.75" customHeight="1" x14ac:dyDescent="0.2">
      <c r="A288" s="434"/>
      <c r="B288" s="431"/>
      <c r="C288" s="431"/>
      <c r="D288" s="431"/>
      <c r="E288" s="431"/>
      <c r="F288" s="431"/>
      <c r="G288" s="431"/>
      <c r="H288" s="431"/>
      <c r="I288" s="443"/>
      <c r="J288" s="431"/>
      <c r="K288" s="431"/>
      <c r="L288" s="431"/>
      <c r="M288" s="431"/>
      <c r="N288" s="431"/>
      <c r="O288" s="431"/>
      <c r="P288" s="431"/>
      <c r="Q288" s="431"/>
      <c r="R288" s="431"/>
      <c r="S288" s="431"/>
      <c r="T288" s="431"/>
      <c r="U288" s="431"/>
      <c r="V288" s="433"/>
      <c r="W288" s="2"/>
      <c r="X288" s="2"/>
      <c r="Y288" s="2"/>
    </row>
    <row r="289" spans="1:25" ht="18.75" customHeight="1" x14ac:dyDescent="0.2">
      <c r="A289" s="434"/>
      <c r="B289" s="431"/>
      <c r="C289" s="431"/>
      <c r="D289" s="431"/>
      <c r="E289" s="431"/>
      <c r="F289" s="431"/>
      <c r="G289" s="431"/>
      <c r="H289" s="431"/>
      <c r="I289" s="443"/>
      <c r="J289" s="431"/>
      <c r="K289" s="431"/>
      <c r="L289" s="431"/>
      <c r="M289" s="431"/>
      <c r="N289" s="431"/>
      <c r="O289" s="431"/>
      <c r="P289" s="431"/>
      <c r="Q289" s="431"/>
      <c r="R289" s="431"/>
      <c r="S289" s="431"/>
      <c r="T289" s="431"/>
      <c r="U289" s="431"/>
      <c r="V289" s="433"/>
      <c r="W289" s="2"/>
      <c r="X289" s="2"/>
      <c r="Y289" s="2"/>
    </row>
    <row r="290" spans="1:25" ht="18.75" customHeight="1" x14ac:dyDescent="0.2">
      <c r="A290" s="434"/>
      <c r="B290" s="431"/>
      <c r="C290" s="431"/>
      <c r="D290" s="431"/>
      <c r="E290" s="431"/>
      <c r="F290" s="431"/>
      <c r="G290" s="431"/>
      <c r="H290" s="431"/>
      <c r="I290" s="443"/>
      <c r="J290" s="431"/>
      <c r="K290" s="431"/>
      <c r="L290" s="431"/>
      <c r="M290" s="431"/>
      <c r="N290" s="431"/>
      <c r="O290" s="431"/>
      <c r="P290" s="431"/>
      <c r="Q290" s="431"/>
      <c r="R290" s="431"/>
      <c r="S290" s="431"/>
      <c r="T290" s="431"/>
      <c r="U290" s="431"/>
      <c r="V290" s="433"/>
      <c r="W290" s="2"/>
      <c r="X290" s="2"/>
      <c r="Y290" s="2"/>
    </row>
    <row r="291" spans="1:25" ht="18.75" customHeight="1" x14ac:dyDescent="0.2">
      <c r="A291" s="434"/>
      <c r="B291" s="431"/>
      <c r="C291" s="431"/>
      <c r="D291" s="431"/>
      <c r="E291" s="431"/>
      <c r="F291" s="431"/>
      <c r="G291" s="431"/>
      <c r="H291" s="431"/>
      <c r="I291" s="443"/>
      <c r="J291" s="431"/>
      <c r="K291" s="431"/>
      <c r="L291" s="431"/>
      <c r="M291" s="431"/>
      <c r="N291" s="431"/>
      <c r="O291" s="431"/>
      <c r="P291" s="431"/>
      <c r="Q291" s="431"/>
      <c r="R291" s="431"/>
      <c r="S291" s="431"/>
      <c r="T291" s="431"/>
      <c r="U291" s="431"/>
      <c r="V291" s="433"/>
      <c r="W291" s="2"/>
      <c r="X291" s="2"/>
      <c r="Y291" s="2"/>
    </row>
    <row r="292" spans="1:25" ht="18.75" customHeight="1" x14ac:dyDescent="0.2">
      <c r="A292" s="434"/>
      <c r="B292" s="431"/>
      <c r="C292" s="431"/>
      <c r="D292" s="431"/>
      <c r="E292" s="431"/>
      <c r="F292" s="431"/>
      <c r="G292" s="431"/>
      <c r="H292" s="431"/>
      <c r="I292" s="443"/>
      <c r="J292" s="431"/>
      <c r="K292" s="431"/>
      <c r="L292" s="431"/>
      <c r="M292" s="431"/>
      <c r="N292" s="431"/>
      <c r="O292" s="431"/>
      <c r="P292" s="431"/>
      <c r="Q292" s="431"/>
      <c r="R292" s="431"/>
      <c r="S292" s="431"/>
      <c r="T292" s="431"/>
      <c r="U292" s="431"/>
      <c r="V292" s="433"/>
      <c r="W292" s="2"/>
      <c r="X292" s="2"/>
      <c r="Y292" s="2"/>
    </row>
    <row r="293" spans="1:25" ht="18.75" customHeight="1" x14ac:dyDescent="0.2">
      <c r="A293" s="434"/>
      <c r="B293" s="431"/>
      <c r="C293" s="431"/>
      <c r="D293" s="431"/>
      <c r="E293" s="431"/>
      <c r="F293" s="431"/>
      <c r="G293" s="431"/>
      <c r="H293" s="431"/>
      <c r="I293" s="443"/>
      <c r="J293" s="431"/>
      <c r="K293" s="431"/>
      <c r="L293" s="431"/>
      <c r="M293" s="431"/>
      <c r="N293" s="431"/>
      <c r="O293" s="431"/>
      <c r="P293" s="431"/>
      <c r="Q293" s="431"/>
      <c r="R293" s="431"/>
      <c r="S293" s="431"/>
      <c r="T293" s="431"/>
      <c r="U293" s="431"/>
      <c r="V293" s="433"/>
      <c r="W293" s="2"/>
      <c r="X293" s="2"/>
      <c r="Y293" s="2"/>
    </row>
    <row r="294" spans="1:25" ht="18.75" customHeight="1" x14ac:dyDescent="0.2">
      <c r="A294" s="434"/>
      <c r="B294" s="431"/>
      <c r="C294" s="431"/>
      <c r="D294" s="431"/>
      <c r="E294" s="431"/>
      <c r="F294" s="431"/>
      <c r="G294" s="431"/>
      <c r="H294" s="431"/>
      <c r="I294" s="443"/>
      <c r="J294" s="431"/>
      <c r="K294" s="431"/>
      <c r="L294" s="431"/>
      <c r="M294" s="431"/>
      <c r="N294" s="431"/>
      <c r="O294" s="431"/>
      <c r="P294" s="431"/>
      <c r="Q294" s="431"/>
      <c r="R294" s="431"/>
      <c r="S294" s="431"/>
      <c r="T294" s="431"/>
      <c r="U294" s="431"/>
      <c r="V294" s="433"/>
      <c r="W294" s="2"/>
      <c r="X294" s="2"/>
      <c r="Y294" s="2"/>
    </row>
    <row r="295" spans="1:25" ht="18.75" customHeight="1" x14ac:dyDescent="0.2">
      <c r="A295" s="434"/>
      <c r="B295" s="431"/>
      <c r="C295" s="431"/>
      <c r="D295" s="431"/>
      <c r="E295" s="431"/>
      <c r="F295" s="431"/>
      <c r="G295" s="431"/>
      <c r="H295" s="431"/>
      <c r="I295" s="443"/>
      <c r="J295" s="431"/>
      <c r="K295" s="431"/>
      <c r="L295" s="431"/>
      <c r="M295" s="431"/>
      <c r="N295" s="431"/>
      <c r="O295" s="431"/>
      <c r="P295" s="431"/>
      <c r="Q295" s="431"/>
      <c r="R295" s="431"/>
      <c r="S295" s="431"/>
      <c r="T295" s="431"/>
      <c r="U295" s="431"/>
      <c r="V295" s="433"/>
      <c r="W295" s="2"/>
      <c r="X295" s="2"/>
      <c r="Y295" s="2"/>
    </row>
    <row r="296" spans="1:25" ht="18.75" customHeight="1" x14ac:dyDescent="0.2">
      <c r="A296" s="434"/>
      <c r="B296" s="431"/>
      <c r="C296" s="431"/>
      <c r="D296" s="431"/>
      <c r="E296" s="431"/>
      <c r="F296" s="431"/>
      <c r="G296" s="431"/>
      <c r="H296" s="431"/>
      <c r="I296" s="443"/>
      <c r="J296" s="431"/>
      <c r="K296" s="431"/>
      <c r="L296" s="431"/>
      <c r="M296" s="431"/>
      <c r="N296" s="431"/>
      <c r="O296" s="431"/>
      <c r="P296" s="431"/>
      <c r="Q296" s="431"/>
      <c r="R296" s="431"/>
      <c r="S296" s="431"/>
      <c r="T296" s="431"/>
      <c r="U296" s="431"/>
      <c r="V296" s="433"/>
      <c r="W296" s="2"/>
      <c r="X296" s="2"/>
      <c r="Y296" s="2"/>
    </row>
    <row r="297" spans="1:25" ht="18.75" customHeight="1" x14ac:dyDescent="0.2">
      <c r="A297" s="434"/>
      <c r="B297" s="431"/>
      <c r="C297" s="431"/>
      <c r="D297" s="431"/>
      <c r="E297" s="431"/>
      <c r="F297" s="431"/>
      <c r="G297" s="431"/>
      <c r="H297" s="431"/>
      <c r="I297" s="443"/>
      <c r="J297" s="431"/>
      <c r="K297" s="431"/>
      <c r="L297" s="431"/>
      <c r="M297" s="431"/>
      <c r="N297" s="431"/>
      <c r="O297" s="431"/>
      <c r="P297" s="431"/>
      <c r="Q297" s="431"/>
      <c r="R297" s="431"/>
      <c r="S297" s="431"/>
      <c r="T297" s="431"/>
      <c r="U297" s="431"/>
      <c r="V297" s="433"/>
      <c r="W297" s="2"/>
      <c r="X297" s="2"/>
      <c r="Y297" s="2"/>
    </row>
    <row r="298" spans="1:25" ht="18.75" customHeight="1" x14ac:dyDescent="0.2">
      <c r="A298" s="434"/>
      <c r="B298" s="431"/>
      <c r="C298" s="431"/>
      <c r="D298" s="431"/>
      <c r="E298" s="431"/>
      <c r="F298" s="431"/>
      <c r="G298" s="431"/>
      <c r="H298" s="431"/>
      <c r="I298" s="443"/>
      <c r="J298" s="431"/>
      <c r="K298" s="431"/>
      <c r="L298" s="431"/>
      <c r="M298" s="431"/>
      <c r="N298" s="431"/>
      <c r="O298" s="431"/>
      <c r="P298" s="431"/>
      <c r="Q298" s="431"/>
      <c r="R298" s="431"/>
      <c r="S298" s="431"/>
      <c r="T298" s="431"/>
      <c r="U298" s="431"/>
      <c r="V298" s="433"/>
      <c r="W298" s="2"/>
      <c r="X298" s="2"/>
      <c r="Y298" s="2"/>
    </row>
    <row r="299" spans="1:25" ht="18.75" customHeight="1" x14ac:dyDescent="0.2">
      <c r="A299" s="434"/>
      <c r="B299" s="431"/>
      <c r="C299" s="431"/>
      <c r="D299" s="431"/>
      <c r="E299" s="431"/>
      <c r="F299" s="431"/>
      <c r="G299" s="431"/>
      <c r="H299" s="431"/>
      <c r="I299" s="443"/>
      <c r="J299" s="431"/>
      <c r="K299" s="431"/>
      <c r="L299" s="431"/>
      <c r="M299" s="431"/>
      <c r="N299" s="431"/>
      <c r="O299" s="431"/>
      <c r="P299" s="431"/>
      <c r="Q299" s="431"/>
      <c r="R299" s="431"/>
      <c r="S299" s="431"/>
      <c r="T299" s="431"/>
      <c r="U299" s="431"/>
      <c r="V299" s="433"/>
      <c r="W299" s="2"/>
      <c r="X299" s="2"/>
      <c r="Y299" s="2"/>
    </row>
    <row r="300" spans="1:25" ht="18.75" customHeight="1" x14ac:dyDescent="0.2">
      <c r="A300" s="434"/>
      <c r="B300" s="431"/>
      <c r="C300" s="431"/>
      <c r="D300" s="431"/>
      <c r="E300" s="431"/>
      <c r="F300" s="431"/>
      <c r="G300" s="431"/>
      <c r="H300" s="431"/>
      <c r="I300" s="443"/>
      <c r="J300" s="431"/>
      <c r="K300" s="431"/>
      <c r="L300" s="431"/>
      <c r="M300" s="431"/>
      <c r="N300" s="431"/>
      <c r="O300" s="431"/>
      <c r="P300" s="431"/>
      <c r="Q300" s="431"/>
      <c r="R300" s="431"/>
      <c r="S300" s="431"/>
      <c r="T300" s="431"/>
      <c r="U300" s="431"/>
      <c r="V300" s="433"/>
      <c r="W300" s="2"/>
      <c r="X300" s="2"/>
      <c r="Y300" s="2"/>
    </row>
    <row r="301" spans="1:25" ht="18.75" customHeight="1" x14ac:dyDescent="0.2">
      <c r="A301" s="434"/>
      <c r="B301" s="431"/>
      <c r="C301" s="431"/>
      <c r="D301" s="431"/>
      <c r="E301" s="431"/>
      <c r="F301" s="431"/>
      <c r="G301" s="431"/>
      <c r="H301" s="431"/>
      <c r="I301" s="443"/>
      <c r="J301" s="431"/>
      <c r="K301" s="431"/>
      <c r="L301" s="431"/>
      <c r="M301" s="431"/>
      <c r="N301" s="431"/>
      <c r="O301" s="431"/>
      <c r="P301" s="431"/>
      <c r="Q301" s="431"/>
      <c r="R301" s="431"/>
      <c r="S301" s="431"/>
      <c r="T301" s="431"/>
      <c r="U301" s="431"/>
      <c r="V301" s="433"/>
      <c r="W301" s="2"/>
      <c r="X301" s="2"/>
      <c r="Y301" s="2"/>
    </row>
    <row r="302" spans="1:25" ht="18.75" customHeight="1" x14ac:dyDescent="0.2">
      <c r="A302" s="434"/>
      <c r="B302" s="431"/>
      <c r="C302" s="431"/>
      <c r="D302" s="431"/>
      <c r="E302" s="431"/>
      <c r="F302" s="431"/>
      <c r="G302" s="431"/>
      <c r="H302" s="431"/>
      <c r="I302" s="443"/>
      <c r="J302" s="431"/>
      <c r="K302" s="431"/>
      <c r="L302" s="431"/>
      <c r="M302" s="431"/>
      <c r="N302" s="431"/>
      <c r="O302" s="431"/>
      <c r="P302" s="431"/>
      <c r="Q302" s="431"/>
      <c r="R302" s="431"/>
      <c r="S302" s="431"/>
      <c r="T302" s="431"/>
      <c r="U302" s="431"/>
      <c r="V302" s="433"/>
      <c r="W302" s="2"/>
      <c r="X302" s="2"/>
      <c r="Y302" s="2"/>
    </row>
    <row r="303" spans="1:25" ht="18.75" customHeight="1" x14ac:dyDescent="0.2">
      <c r="A303" s="434"/>
      <c r="B303" s="431"/>
      <c r="C303" s="431"/>
      <c r="D303" s="431"/>
      <c r="E303" s="431"/>
      <c r="F303" s="431"/>
      <c r="G303" s="431"/>
      <c r="H303" s="431"/>
      <c r="I303" s="443"/>
      <c r="J303" s="431"/>
      <c r="K303" s="431"/>
      <c r="L303" s="431"/>
      <c r="M303" s="431"/>
      <c r="N303" s="431"/>
      <c r="O303" s="431"/>
      <c r="P303" s="431"/>
      <c r="Q303" s="431"/>
      <c r="R303" s="431"/>
      <c r="S303" s="431"/>
      <c r="T303" s="431"/>
      <c r="U303" s="431"/>
      <c r="V303" s="433"/>
      <c r="W303" s="2"/>
      <c r="X303" s="2"/>
      <c r="Y303" s="2"/>
    </row>
    <row r="304" spans="1:25" ht="18.75" customHeight="1" x14ac:dyDescent="0.2">
      <c r="A304" s="434"/>
      <c r="B304" s="431"/>
      <c r="C304" s="431"/>
      <c r="D304" s="431"/>
      <c r="E304" s="431"/>
      <c r="F304" s="431"/>
      <c r="G304" s="431"/>
      <c r="H304" s="431"/>
      <c r="I304" s="443"/>
      <c r="J304" s="431"/>
      <c r="K304" s="431"/>
      <c r="L304" s="431"/>
      <c r="M304" s="431"/>
      <c r="N304" s="431"/>
      <c r="O304" s="431"/>
      <c r="P304" s="431"/>
      <c r="Q304" s="431"/>
      <c r="R304" s="431"/>
      <c r="S304" s="431"/>
      <c r="T304" s="431"/>
      <c r="U304" s="431"/>
      <c r="V304" s="433"/>
      <c r="W304" s="2"/>
      <c r="X304" s="2"/>
      <c r="Y304" s="2"/>
    </row>
    <row r="305" spans="1:25" ht="18.75" customHeight="1" x14ac:dyDescent="0.2">
      <c r="A305" s="434"/>
      <c r="B305" s="431"/>
      <c r="C305" s="431"/>
      <c r="D305" s="431"/>
      <c r="E305" s="431"/>
      <c r="F305" s="431"/>
      <c r="G305" s="431"/>
      <c r="H305" s="431"/>
      <c r="I305" s="443"/>
      <c r="J305" s="431"/>
      <c r="K305" s="431"/>
      <c r="L305" s="431"/>
      <c r="M305" s="431"/>
      <c r="N305" s="431"/>
      <c r="O305" s="431"/>
      <c r="P305" s="431"/>
      <c r="Q305" s="431"/>
      <c r="R305" s="431"/>
      <c r="S305" s="431"/>
      <c r="T305" s="431"/>
      <c r="U305" s="431"/>
      <c r="V305" s="433"/>
      <c r="W305" s="2"/>
      <c r="X305" s="2"/>
      <c r="Y305" s="2"/>
    </row>
    <row r="306" spans="1:25" ht="18.75" customHeight="1" x14ac:dyDescent="0.2">
      <c r="A306" s="434"/>
      <c r="B306" s="431"/>
      <c r="C306" s="431"/>
      <c r="D306" s="431"/>
      <c r="E306" s="431"/>
      <c r="F306" s="431"/>
      <c r="G306" s="431"/>
      <c r="H306" s="431"/>
      <c r="I306" s="443"/>
      <c r="J306" s="431"/>
      <c r="K306" s="431"/>
      <c r="L306" s="431"/>
      <c r="M306" s="431"/>
      <c r="N306" s="431"/>
      <c r="O306" s="431"/>
      <c r="P306" s="431"/>
      <c r="Q306" s="431"/>
      <c r="R306" s="431"/>
      <c r="S306" s="431"/>
      <c r="T306" s="431"/>
      <c r="U306" s="431"/>
      <c r="V306" s="433"/>
      <c r="W306" s="2"/>
      <c r="X306" s="2"/>
      <c r="Y306" s="2"/>
    </row>
    <row r="307" spans="1:25" ht="18.75" customHeight="1" x14ac:dyDescent="0.2">
      <c r="A307" s="434"/>
      <c r="B307" s="431"/>
      <c r="C307" s="431"/>
      <c r="D307" s="431"/>
      <c r="E307" s="431"/>
      <c r="F307" s="431"/>
      <c r="G307" s="431"/>
      <c r="H307" s="431"/>
      <c r="I307" s="443"/>
      <c r="J307" s="431"/>
      <c r="K307" s="431"/>
      <c r="L307" s="431"/>
      <c r="M307" s="431"/>
      <c r="N307" s="431"/>
      <c r="O307" s="431"/>
      <c r="P307" s="431"/>
      <c r="Q307" s="431"/>
      <c r="R307" s="431"/>
      <c r="S307" s="431"/>
      <c r="T307" s="431"/>
      <c r="U307" s="431"/>
      <c r="V307" s="433"/>
      <c r="W307" s="2"/>
      <c r="X307" s="2"/>
      <c r="Y307" s="2"/>
    </row>
    <row r="308" spans="1:25" ht="18.75" customHeight="1" x14ac:dyDescent="0.2">
      <c r="A308" s="434"/>
      <c r="B308" s="431"/>
      <c r="C308" s="431"/>
      <c r="D308" s="431"/>
      <c r="E308" s="431"/>
      <c r="F308" s="431"/>
      <c r="G308" s="431"/>
      <c r="H308" s="431"/>
      <c r="I308" s="443"/>
      <c r="J308" s="431"/>
      <c r="K308" s="431"/>
      <c r="L308" s="431"/>
      <c r="M308" s="431"/>
      <c r="N308" s="431"/>
      <c r="O308" s="431"/>
      <c r="P308" s="431"/>
      <c r="Q308" s="431"/>
      <c r="R308" s="431"/>
      <c r="S308" s="431"/>
      <c r="T308" s="431"/>
      <c r="U308" s="431"/>
      <c r="V308" s="433"/>
      <c r="W308" s="2"/>
      <c r="X308" s="2"/>
      <c r="Y308" s="2"/>
    </row>
    <row r="309" spans="1:25" ht="18.75" customHeight="1" x14ac:dyDescent="0.2">
      <c r="A309" s="434"/>
      <c r="B309" s="431"/>
      <c r="C309" s="431"/>
      <c r="D309" s="431"/>
      <c r="E309" s="431"/>
      <c r="F309" s="431"/>
      <c r="G309" s="431"/>
      <c r="H309" s="431"/>
      <c r="I309" s="443"/>
      <c r="J309" s="431"/>
      <c r="K309" s="431"/>
      <c r="L309" s="431"/>
      <c r="M309" s="431"/>
      <c r="N309" s="431"/>
      <c r="O309" s="431"/>
      <c r="P309" s="431"/>
      <c r="Q309" s="431"/>
      <c r="R309" s="431"/>
      <c r="S309" s="431"/>
      <c r="T309" s="431"/>
      <c r="U309" s="431"/>
      <c r="V309" s="433"/>
      <c r="W309" s="2"/>
      <c r="X309" s="2"/>
      <c r="Y309" s="2"/>
    </row>
    <row r="310" spans="1:25" ht="18.75" customHeight="1" x14ac:dyDescent="0.2">
      <c r="A310" s="434"/>
      <c r="B310" s="431"/>
      <c r="C310" s="431"/>
      <c r="D310" s="431"/>
      <c r="E310" s="431"/>
      <c r="F310" s="431"/>
      <c r="G310" s="431"/>
      <c r="H310" s="431"/>
      <c r="I310" s="443"/>
      <c r="J310" s="431"/>
      <c r="K310" s="431"/>
      <c r="L310" s="431"/>
      <c r="M310" s="431"/>
      <c r="N310" s="431"/>
      <c r="O310" s="431"/>
      <c r="P310" s="431"/>
      <c r="Q310" s="431"/>
      <c r="R310" s="431"/>
      <c r="S310" s="431"/>
      <c r="T310" s="431"/>
      <c r="U310" s="431"/>
      <c r="V310" s="433"/>
      <c r="W310" s="2"/>
      <c r="X310" s="2"/>
      <c r="Y310" s="2"/>
    </row>
    <row r="311" spans="1:25" ht="18.75" customHeight="1" x14ac:dyDescent="0.2">
      <c r="A311" s="434"/>
      <c r="B311" s="431"/>
      <c r="C311" s="431"/>
      <c r="D311" s="431"/>
      <c r="E311" s="431"/>
      <c r="F311" s="431"/>
      <c r="G311" s="431"/>
      <c r="H311" s="431"/>
      <c r="I311" s="443"/>
      <c r="J311" s="431"/>
      <c r="K311" s="431"/>
      <c r="L311" s="431"/>
      <c r="M311" s="431"/>
      <c r="N311" s="431"/>
      <c r="O311" s="431"/>
      <c r="P311" s="431"/>
      <c r="Q311" s="431"/>
      <c r="R311" s="431"/>
      <c r="S311" s="431"/>
      <c r="T311" s="431"/>
      <c r="U311" s="431"/>
      <c r="V311" s="433"/>
      <c r="W311" s="2"/>
      <c r="X311" s="2"/>
      <c r="Y311" s="2"/>
    </row>
    <row r="312" spans="1:25" ht="18.75" customHeight="1" x14ac:dyDescent="0.2">
      <c r="A312" s="434"/>
      <c r="B312" s="431"/>
      <c r="C312" s="431"/>
      <c r="D312" s="431"/>
      <c r="E312" s="431"/>
      <c r="F312" s="431"/>
      <c r="G312" s="431"/>
      <c r="H312" s="431"/>
      <c r="I312" s="443"/>
      <c r="J312" s="431"/>
      <c r="K312" s="431"/>
      <c r="L312" s="431"/>
      <c r="M312" s="431"/>
      <c r="N312" s="431"/>
      <c r="O312" s="431"/>
      <c r="P312" s="431"/>
      <c r="Q312" s="431"/>
      <c r="R312" s="431"/>
      <c r="S312" s="431"/>
      <c r="T312" s="431"/>
      <c r="U312" s="431"/>
      <c r="V312" s="433"/>
      <c r="W312" s="2"/>
      <c r="X312" s="2"/>
      <c r="Y312" s="2"/>
    </row>
    <row r="313" spans="1:25" ht="18.75" customHeight="1" x14ac:dyDescent="0.2">
      <c r="A313" s="434"/>
      <c r="B313" s="431"/>
      <c r="C313" s="431"/>
      <c r="D313" s="431"/>
      <c r="E313" s="431"/>
      <c r="F313" s="431"/>
      <c r="G313" s="431"/>
      <c r="H313" s="431"/>
      <c r="I313" s="443"/>
      <c r="J313" s="431"/>
      <c r="K313" s="431"/>
      <c r="L313" s="431"/>
      <c r="M313" s="431"/>
      <c r="N313" s="431"/>
      <c r="O313" s="431"/>
      <c r="P313" s="431"/>
      <c r="Q313" s="431"/>
      <c r="R313" s="431"/>
      <c r="S313" s="431"/>
      <c r="T313" s="431"/>
      <c r="U313" s="431"/>
      <c r="V313" s="433"/>
      <c r="W313" s="2"/>
      <c r="X313" s="2"/>
      <c r="Y313" s="2"/>
    </row>
    <row r="314" spans="1:25" ht="18.75" customHeight="1" x14ac:dyDescent="0.2">
      <c r="A314" s="434"/>
      <c r="B314" s="431"/>
      <c r="C314" s="431"/>
      <c r="D314" s="431"/>
      <c r="E314" s="431"/>
      <c r="F314" s="431"/>
      <c r="G314" s="431"/>
      <c r="H314" s="431"/>
      <c r="I314" s="443"/>
      <c r="J314" s="431"/>
      <c r="K314" s="431"/>
      <c r="L314" s="431"/>
      <c r="M314" s="431"/>
      <c r="N314" s="431"/>
      <c r="O314" s="431"/>
      <c r="P314" s="431"/>
      <c r="Q314" s="431"/>
      <c r="R314" s="431"/>
      <c r="S314" s="431"/>
      <c r="T314" s="431"/>
      <c r="U314" s="431"/>
      <c r="V314" s="433"/>
      <c r="W314" s="2"/>
      <c r="X314" s="2"/>
      <c r="Y314" s="2"/>
    </row>
    <row r="315" spans="1:25" ht="18.75" customHeight="1" x14ac:dyDescent="0.2">
      <c r="A315" s="434"/>
      <c r="B315" s="431"/>
      <c r="C315" s="431"/>
      <c r="D315" s="431"/>
      <c r="E315" s="431"/>
      <c r="F315" s="431"/>
      <c r="G315" s="431"/>
      <c r="H315" s="431"/>
      <c r="I315" s="443"/>
      <c r="J315" s="431"/>
      <c r="K315" s="431"/>
      <c r="L315" s="431"/>
      <c r="M315" s="431"/>
      <c r="N315" s="431"/>
      <c r="O315" s="431"/>
      <c r="P315" s="431"/>
      <c r="Q315" s="431"/>
      <c r="R315" s="431"/>
      <c r="S315" s="431"/>
      <c r="T315" s="431"/>
      <c r="U315" s="431"/>
      <c r="V315" s="433"/>
      <c r="W315" s="2"/>
      <c r="X315" s="2"/>
      <c r="Y315" s="2"/>
    </row>
    <row r="316" spans="1:25" ht="18.75" customHeight="1" x14ac:dyDescent="0.2">
      <c r="A316" s="434"/>
      <c r="B316" s="431"/>
      <c r="C316" s="431"/>
      <c r="D316" s="431"/>
      <c r="E316" s="431"/>
      <c r="F316" s="431"/>
      <c r="G316" s="431"/>
      <c r="H316" s="431"/>
      <c r="I316" s="443"/>
      <c r="J316" s="431"/>
      <c r="K316" s="431"/>
      <c r="L316" s="431"/>
      <c r="M316" s="431"/>
      <c r="N316" s="431"/>
      <c r="O316" s="431"/>
      <c r="P316" s="431"/>
      <c r="Q316" s="431"/>
      <c r="R316" s="431"/>
      <c r="S316" s="431"/>
      <c r="T316" s="431"/>
      <c r="U316" s="431"/>
      <c r="V316" s="433"/>
      <c r="W316" s="2"/>
      <c r="X316" s="2"/>
      <c r="Y316" s="2"/>
    </row>
    <row r="317" spans="1:25" ht="18.75" customHeight="1" x14ac:dyDescent="0.2">
      <c r="A317" s="434"/>
      <c r="B317" s="431"/>
      <c r="C317" s="431"/>
      <c r="D317" s="431"/>
      <c r="E317" s="431"/>
      <c r="F317" s="431"/>
      <c r="G317" s="431"/>
      <c r="H317" s="431"/>
      <c r="I317" s="443"/>
      <c r="J317" s="431"/>
      <c r="K317" s="431"/>
      <c r="L317" s="431"/>
      <c r="M317" s="431"/>
      <c r="N317" s="431"/>
      <c r="O317" s="431"/>
      <c r="P317" s="431"/>
      <c r="Q317" s="431"/>
      <c r="R317" s="431"/>
      <c r="S317" s="431"/>
      <c r="T317" s="431"/>
      <c r="U317" s="431"/>
      <c r="V317" s="433"/>
      <c r="W317" s="2"/>
      <c r="X317" s="2"/>
      <c r="Y317" s="2"/>
    </row>
    <row r="318" spans="1:25" ht="18.75" customHeight="1" x14ac:dyDescent="0.2">
      <c r="A318" s="434"/>
      <c r="B318" s="431"/>
      <c r="C318" s="431"/>
      <c r="D318" s="431"/>
      <c r="E318" s="431"/>
      <c r="F318" s="431"/>
      <c r="G318" s="431"/>
      <c r="H318" s="431"/>
      <c r="I318" s="443"/>
      <c r="J318" s="431"/>
      <c r="K318" s="431"/>
      <c r="L318" s="431"/>
      <c r="M318" s="431"/>
      <c r="N318" s="431"/>
      <c r="O318" s="431"/>
      <c r="P318" s="431"/>
      <c r="Q318" s="431"/>
      <c r="R318" s="431"/>
      <c r="S318" s="431"/>
      <c r="T318" s="431"/>
      <c r="U318" s="431"/>
      <c r="V318" s="433"/>
      <c r="W318" s="2"/>
      <c r="X318" s="2"/>
      <c r="Y318" s="2"/>
    </row>
    <row r="319" spans="1:25" ht="18.75" customHeight="1" x14ac:dyDescent="0.2">
      <c r="A319" s="434"/>
      <c r="B319" s="431"/>
      <c r="C319" s="431"/>
      <c r="D319" s="431"/>
      <c r="E319" s="431"/>
      <c r="F319" s="431"/>
      <c r="G319" s="431"/>
      <c r="H319" s="431"/>
      <c r="I319" s="443"/>
      <c r="J319" s="431"/>
      <c r="K319" s="431"/>
      <c r="L319" s="431"/>
      <c r="M319" s="431"/>
      <c r="N319" s="431"/>
      <c r="O319" s="431"/>
      <c r="P319" s="431"/>
      <c r="Q319" s="431"/>
      <c r="R319" s="431"/>
      <c r="S319" s="431"/>
      <c r="T319" s="431"/>
      <c r="U319" s="431"/>
      <c r="V319" s="433"/>
      <c r="W319" s="2"/>
      <c r="X319" s="2"/>
      <c r="Y319" s="2"/>
    </row>
    <row r="320" spans="1:25" ht="18.75" customHeight="1" x14ac:dyDescent="0.2">
      <c r="A320" s="434"/>
      <c r="B320" s="431"/>
      <c r="C320" s="431"/>
      <c r="D320" s="431"/>
      <c r="E320" s="431"/>
      <c r="F320" s="431"/>
      <c r="G320" s="431"/>
      <c r="H320" s="431"/>
      <c r="I320" s="443"/>
      <c r="J320" s="431"/>
      <c r="K320" s="431"/>
      <c r="L320" s="431"/>
      <c r="M320" s="431"/>
      <c r="N320" s="431"/>
      <c r="O320" s="431"/>
      <c r="P320" s="431"/>
      <c r="Q320" s="431"/>
      <c r="R320" s="431"/>
      <c r="S320" s="431"/>
      <c r="T320" s="431"/>
      <c r="U320" s="431"/>
      <c r="V320" s="433"/>
      <c r="W320" s="2"/>
      <c r="X320" s="2"/>
      <c r="Y320" s="2"/>
    </row>
    <row r="321" spans="1:25" ht="18.75" customHeight="1" x14ac:dyDescent="0.2">
      <c r="A321" s="434"/>
      <c r="B321" s="431"/>
      <c r="C321" s="431"/>
      <c r="D321" s="431"/>
      <c r="E321" s="431"/>
      <c r="F321" s="431"/>
      <c r="G321" s="431"/>
      <c r="H321" s="431"/>
      <c r="I321" s="443"/>
      <c r="J321" s="431"/>
      <c r="K321" s="431"/>
      <c r="L321" s="431"/>
      <c r="M321" s="431"/>
      <c r="N321" s="431"/>
      <c r="O321" s="431"/>
      <c r="P321" s="431"/>
      <c r="Q321" s="431"/>
      <c r="R321" s="431"/>
      <c r="S321" s="431"/>
      <c r="T321" s="431"/>
      <c r="U321" s="431"/>
      <c r="V321" s="433"/>
      <c r="W321" s="2"/>
      <c r="X321" s="2"/>
      <c r="Y321" s="2"/>
    </row>
    <row r="322" spans="1:25" ht="18.75" customHeight="1" x14ac:dyDescent="0.2">
      <c r="A322" s="434"/>
      <c r="B322" s="431"/>
      <c r="C322" s="431"/>
      <c r="D322" s="431"/>
      <c r="E322" s="431"/>
      <c r="F322" s="431"/>
      <c r="G322" s="431"/>
      <c r="H322" s="431"/>
      <c r="I322" s="443"/>
      <c r="J322" s="431"/>
      <c r="K322" s="431"/>
      <c r="L322" s="431"/>
      <c r="M322" s="431"/>
      <c r="N322" s="431"/>
      <c r="O322" s="431"/>
      <c r="P322" s="431"/>
      <c r="Q322" s="431"/>
      <c r="R322" s="431"/>
      <c r="S322" s="431"/>
      <c r="T322" s="431"/>
      <c r="U322" s="431"/>
      <c r="V322" s="433"/>
      <c r="W322" s="2"/>
      <c r="X322" s="2"/>
      <c r="Y322" s="2"/>
    </row>
    <row r="323" spans="1:25" ht="18.75" customHeight="1" x14ac:dyDescent="0.2">
      <c r="A323" s="434"/>
      <c r="B323" s="431"/>
      <c r="C323" s="431"/>
      <c r="D323" s="431"/>
      <c r="E323" s="431"/>
      <c r="F323" s="431"/>
      <c r="G323" s="431"/>
      <c r="H323" s="431"/>
      <c r="I323" s="443"/>
      <c r="J323" s="431"/>
      <c r="K323" s="431"/>
      <c r="L323" s="431"/>
      <c r="M323" s="431"/>
      <c r="N323" s="431"/>
      <c r="O323" s="431"/>
      <c r="P323" s="431"/>
      <c r="Q323" s="431"/>
      <c r="R323" s="431"/>
      <c r="S323" s="431"/>
      <c r="T323" s="431"/>
      <c r="U323" s="431"/>
      <c r="V323" s="433"/>
      <c r="W323" s="2"/>
      <c r="X323" s="2"/>
      <c r="Y323" s="2"/>
    </row>
    <row r="324" spans="1:25" ht="18.75" customHeight="1" x14ac:dyDescent="0.2">
      <c r="A324" s="434"/>
      <c r="B324" s="431"/>
      <c r="C324" s="431"/>
      <c r="D324" s="431"/>
      <c r="E324" s="431"/>
      <c r="F324" s="431"/>
      <c r="G324" s="431"/>
      <c r="H324" s="431"/>
      <c r="I324" s="443"/>
      <c r="J324" s="431"/>
      <c r="K324" s="431"/>
      <c r="L324" s="431"/>
      <c r="M324" s="431"/>
      <c r="N324" s="431"/>
      <c r="O324" s="431"/>
      <c r="P324" s="431"/>
      <c r="Q324" s="431"/>
      <c r="R324" s="431"/>
      <c r="S324" s="431"/>
      <c r="T324" s="431"/>
      <c r="U324" s="431"/>
      <c r="V324" s="433"/>
      <c r="W324" s="2"/>
      <c r="X324" s="2"/>
      <c r="Y324" s="2"/>
    </row>
    <row r="325" spans="1:25" ht="18.75" customHeight="1" x14ac:dyDescent="0.2">
      <c r="A325" s="434"/>
      <c r="B325" s="431"/>
      <c r="C325" s="431"/>
      <c r="D325" s="431"/>
      <c r="E325" s="431"/>
      <c r="F325" s="431"/>
      <c r="G325" s="431"/>
      <c r="H325" s="431"/>
      <c r="I325" s="443"/>
      <c r="J325" s="431"/>
      <c r="K325" s="431"/>
      <c r="L325" s="431"/>
      <c r="M325" s="431"/>
      <c r="N325" s="431"/>
      <c r="O325" s="431"/>
      <c r="P325" s="431"/>
      <c r="Q325" s="431"/>
      <c r="R325" s="431"/>
      <c r="S325" s="431"/>
      <c r="T325" s="431"/>
      <c r="U325" s="431"/>
      <c r="V325" s="433"/>
      <c r="W325" s="2"/>
      <c r="X325" s="2"/>
      <c r="Y325" s="2"/>
    </row>
    <row r="326" spans="1:25" ht="18.75" customHeight="1" x14ac:dyDescent="0.2">
      <c r="A326" s="434"/>
      <c r="B326" s="431"/>
      <c r="C326" s="431"/>
      <c r="D326" s="431"/>
      <c r="E326" s="431"/>
      <c r="F326" s="431"/>
      <c r="G326" s="431"/>
      <c r="H326" s="431"/>
      <c r="I326" s="443"/>
      <c r="J326" s="431"/>
      <c r="K326" s="431"/>
      <c r="L326" s="431"/>
      <c r="M326" s="431"/>
      <c r="N326" s="431"/>
      <c r="O326" s="431"/>
      <c r="P326" s="431"/>
      <c r="Q326" s="431"/>
      <c r="R326" s="431"/>
      <c r="S326" s="431"/>
      <c r="T326" s="431"/>
      <c r="U326" s="431"/>
      <c r="V326" s="433"/>
      <c r="W326" s="2"/>
      <c r="X326" s="2"/>
      <c r="Y326" s="2"/>
    </row>
    <row r="327" spans="1:25" ht="18.75" customHeight="1" x14ac:dyDescent="0.2">
      <c r="A327" s="434"/>
      <c r="B327" s="431"/>
      <c r="C327" s="431"/>
      <c r="D327" s="431"/>
      <c r="E327" s="431"/>
      <c r="F327" s="431"/>
      <c r="G327" s="431"/>
      <c r="H327" s="431"/>
      <c r="I327" s="443"/>
      <c r="J327" s="431"/>
      <c r="K327" s="431"/>
      <c r="L327" s="431"/>
      <c r="M327" s="431"/>
      <c r="N327" s="431"/>
      <c r="O327" s="431"/>
      <c r="P327" s="431"/>
      <c r="Q327" s="431"/>
      <c r="R327" s="431"/>
      <c r="S327" s="431"/>
      <c r="T327" s="431"/>
      <c r="U327" s="431"/>
      <c r="V327" s="433"/>
      <c r="W327" s="2"/>
      <c r="X327" s="2"/>
      <c r="Y327" s="2"/>
    </row>
    <row r="328" spans="1:25" ht="18.75" customHeight="1" x14ac:dyDescent="0.2">
      <c r="A328" s="434"/>
      <c r="B328" s="431"/>
      <c r="C328" s="431"/>
      <c r="D328" s="431"/>
      <c r="E328" s="431"/>
      <c r="F328" s="431"/>
      <c r="G328" s="431"/>
      <c r="H328" s="431"/>
      <c r="I328" s="443"/>
      <c r="J328" s="431"/>
      <c r="K328" s="431"/>
      <c r="L328" s="431"/>
      <c r="M328" s="431"/>
      <c r="N328" s="431"/>
      <c r="O328" s="431"/>
      <c r="P328" s="431"/>
      <c r="Q328" s="431"/>
      <c r="R328" s="431"/>
      <c r="S328" s="431"/>
      <c r="T328" s="431"/>
      <c r="U328" s="431"/>
      <c r="V328" s="433"/>
      <c r="W328" s="2"/>
      <c r="X328" s="2"/>
      <c r="Y328" s="2"/>
    </row>
    <row r="329" spans="1:25" ht="18.75" customHeight="1" x14ac:dyDescent="0.2">
      <c r="A329" s="434"/>
      <c r="B329" s="431"/>
      <c r="C329" s="431"/>
      <c r="D329" s="431"/>
      <c r="E329" s="431"/>
      <c r="F329" s="431"/>
      <c r="G329" s="431"/>
      <c r="H329" s="431"/>
      <c r="I329" s="443"/>
      <c r="J329" s="431"/>
      <c r="K329" s="431"/>
      <c r="L329" s="431"/>
      <c r="M329" s="431"/>
      <c r="N329" s="431"/>
      <c r="O329" s="431"/>
      <c r="P329" s="431"/>
      <c r="Q329" s="431"/>
      <c r="R329" s="431"/>
      <c r="S329" s="431"/>
      <c r="T329" s="431"/>
      <c r="U329" s="431"/>
      <c r="V329" s="433"/>
      <c r="W329" s="2"/>
      <c r="X329" s="2"/>
      <c r="Y329" s="2"/>
    </row>
    <row r="330" spans="1:25" ht="18.75" customHeight="1" x14ac:dyDescent="0.2">
      <c r="A330" s="434"/>
      <c r="B330" s="431"/>
      <c r="C330" s="431"/>
      <c r="D330" s="431"/>
      <c r="E330" s="431"/>
      <c r="F330" s="431"/>
      <c r="G330" s="431"/>
      <c r="H330" s="431"/>
      <c r="I330" s="443"/>
      <c r="J330" s="431"/>
      <c r="K330" s="431"/>
      <c r="L330" s="431"/>
      <c r="M330" s="431"/>
      <c r="N330" s="431"/>
      <c r="O330" s="431"/>
      <c r="P330" s="431"/>
      <c r="Q330" s="431"/>
      <c r="R330" s="431"/>
      <c r="S330" s="431"/>
      <c r="T330" s="431"/>
      <c r="U330" s="431"/>
      <c r="V330" s="433"/>
      <c r="W330" s="2"/>
      <c r="X330" s="2"/>
      <c r="Y330" s="2"/>
    </row>
    <row r="331" spans="1:25" ht="18.75" customHeight="1" x14ac:dyDescent="0.2">
      <c r="A331" s="434"/>
      <c r="B331" s="431"/>
      <c r="C331" s="431"/>
      <c r="D331" s="431"/>
      <c r="E331" s="431"/>
      <c r="F331" s="431"/>
      <c r="G331" s="431"/>
      <c r="H331" s="431"/>
      <c r="I331" s="443"/>
      <c r="J331" s="431"/>
      <c r="K331" s="431"/>
      <c r="L331" s="431"/>
      <c r="M331" s="431"/>
      <c r="N331" s="431"/>
      <c r="O331" s="431"/>
      <c r="P331" s="431"/>
      <c r="Q331" s="431"/>
      <c r="R331" s="431"/>
      <c r="S331" s="431"/>
      <c r="T331" s="431"/>
      <c r="U331" s="431"/>
      <c r="V331" s="433"/>
      <c r="W331" s="2"/>
      <c r="X331" s="2"/>
      <c r="Y331" s="2"/>
    </row>
    <row r="332" spans="1:25" ht="18.75" customHeight="1" x14ac:dyDescent="0.2">
      <c r="A332" s="434"/>
      <c r="B332" s="431"/>
      <c r="C332" s="431"/>
      <c r="D332" s="431"/>
      <c r="E332" s="431"/>
      <c r="F332" s="431"/>
      <c r="G332" s="431"/>
      <c r="H332" s="431"/>
      <c r="I332" s="443"/>
      <c r="J332" s="431"/>
      <c r="K332" s="431"/>
      <c r="L332" s="431"/>
      <c r="M332" s="431"/>
      <c r="N332" s="431"/>
      <c r="O332" s="431"/>
      <c r="P332" s="431"/>
      <c r="Q332" s="431"/>
      <c r="R332" s="431"/>
      <c r="S332" s="431"/>
      <c r="T332" s="431"/>
      <c r="U332" s="431"/>
      <c r="V332" s="433"/>
      <c r="W332" s="2"/>
      <c r="X332" s="2"/>
      <c r="Y332" s="2"/>
    </row>
    <row r="333" spans="1:25" ht="18.75" customHeight="1" x14ac:dyDescent="0.2">
      <c r="A333" s="434"/>
      <c r="B333" s="431"/>
      <c r="C333" s="431"/>
      <c r="D333" s="431"/>
      <c r="E333" s="431"/>
      <c r="F333" s="431"/>
      <c r="G333" s="431"/>
      <c r="H333" s="431"/>
      <c r="I333" s="443"/>
      <c r="J333" s="431"/>
      <c r="K333" s="431"/>
      <c r="L333" s="431"/>
      <c r="M333" s="431"/>
      <c r="N333" s="431"/>
      <c r="O333" s="431"/>
      <c r="P333" s="431"/>
      <c r="Q333" s="431"/>
      <c r="R333" s="431"/>
      <c r="S333" s="431"/>
      <c r="T333" s="431"/>
      <c r="U333" s="431"/>
      <c r="V333" s="433"/>
      <c r="W333" s="2"/>
      <c r="X333" s="2"/>
      <c r="Y333" s="2"/>
    </row>
    <row r="334" spans="1:25" ht="18.75" customHeight="1" x14ac:dyDescent="0.2">
      <c r="A334" s="434"/>
      <c r="B334" s="431"/>
      <c r="C334" s="431"/>
      <c r="D334" s="431"/>
      <c r="E334" s="431"/>
      <c r="F334" s="431"/>
      <c r="G334" s="431"/>
      <c r="H334" s="431"/>
      <c r="I334" s="443"/>
      <c r="J334" s="431"/>
      <c r="K334" s="431"/>
      <c r="L334" s="431"/>
      <c r="M334" s="431"/>
      <c r="N334" s="431"/>
      <c r="O334" s="431"/>
      <c r="P334" s="431"/>
      <c r="Q334" s="431"/>
      <c r="R334" s="431"/>
      <c r="S334" s="431"/>
      <c r="T334" s="431"/>
      <c r="U334" s="431"/>
      <c r="V334" s="433"/>
      <c r="W334" s="2"/>
      <c r="X334" s="2"/>
      <c r="Y334" s="2"/>
    </row>
    <row r="335" spans="1:25" ht="18.75" customHeight="1" x14ac:dyDescent="0.2">
      <c r="A335" s="434"/>
      <c r="B335" s="431"/>
      <c r="C335" s="431"/>
      <c r="D335" s="431"/>
      <c r="E335" s="431"/>
      <c r="F335" s="431"/>
      <c r="G335" s="431"/>
      <c r="H335" s="431"/>
      <c r="I335" s="443"/>
      <c r="J335" s="431"/>
      <c r="K335" s="431"/>
      <c r="L335" s="431"/>
      <c r="M335" s="431"/>
      <c r="N335" s="431"/>
      <c r="O335" s="431"/>
      <c r="P335" s="431"/>
      <c r="Q335" s="431"/>
      <c r="R335" s="431"/>
      <c r="S335" s="431"/>
      <c r="T335" s="431"/>
      <c r="U335" s="431"/>
      <c r="V335" s="433"/>
      <c r="W335" s="2"/>
      <c r="X335" s="2"/>
      <c r="Y335" s="2"/>
    </row>
    <row r="336" spans="1:25" ht="18.75" customHeight="1" x14ac:dyDescent="0.2">
      <c r="A336" s="434"/>
      <c r="B336" s="431"/>
      <c r="C336" s="431"/>
      <c r="D336" s="431"/>
      <c r="E336" s="431"/>
      <c r="F336" s="431"/>
      <c r="G336" s="431"/>
      <c r="H336" s="431"/>
      <c r="I336" s="443"/>
      <c r="J336" s="431"/>
      <c r="K336" s="431"/>
      <c r="L336" s="431"/>
      <c r="M336" s="431"/>
      <c r="N336" s="431"/>
      <c r="O336" s="431"/>
      <c r="P336" s="431"/>
      <c r="Q336" s="431"/>
      <c r="R336" s="431"/>
      <c r="S336" s="431"/>
      <c r="T336" s="431"/>
      <c r="U336" s="431"/>
      <c r="V336" s="433"/>
      <c r="W336" s="2"/>
      <c r="X336" s="2"/>
      <c r="Y336" s="2"/>
    </row>
    <row r="337" spans="1:25" ht="18.75" customHeight="1" x14ac:dyDescent="0.2">
      <c r="A337" s="434"/>
      <c r="B337" s="431"/>
      <c r="C337" s="431"/>
      <c r="D337" s="431"/>
      <c r="E337" s="431"/>
      <c r="F337" s="431"/>
      <c r="G337" s="431"/>
      <c r="H337" s="431"/>
      <c r="I337" s="443"/>
      <c r="J337" s="431"/>
      <c r="K337" s="431"/>
      <c r="L337" s="431"/>
      <c r="M337" s="431"/>
      <c r="N337" s="431"/>
      <c r="O337" s="431"/>
      <c r="P337" s="431"/>
      <c r="Q337" s="431"/>
      <c r="R337" s="431"/>
      <c r="S337" s="431"/>
      <c r="T337" s="431"/>
      <c r="U337" s="431"/>
      <c r="V337" s="433"/>
      <c r="W337" s="2"/>
      <c r="X337" s="2"/>
      <c r="Y337" s="2"/>
    </row>
    <row r="338" spans="1:25" ht="18.75" customHeight="1" x14ac:dyDescent="0.2">
      <c r="A338" s="434"/>
      <c r="B338" s="431"/>
      <c r="C338" s="431"/>
      <c r="D338" s="431"/>
      <c r="E338" s="431"/>
      <c r="F338" s="431"/>
      <c r="G338" s="431"/>
      <c r="H338" s="431"/>
      <c r="I338" s="443"/>
      <c r="J338" s="431"/>
      <c r="K338" s="431"/>
      <c r="L338" s="431"/>
      <c r="M338" s="431"/>
      <c r="N338" s="431"/>
      <c r="O338" s="431"/>
      <c r="P338" s="431"/>
      <c r="Q338" s="431"/>
      <c r="R338" s="431"/>
      <c r="S338" s="431"/>
      <c r="T338" s="431"/>
      <c r="U338" s="431"/>
      <c r="V338" s="433"/>
      <c r="W338" s="2"/>
      <c r="X338" s="2"/>
      <c r="Y338" s="2"/>
    </row>
    <row r="339" spans="1:25" ht="18.75" customHeight="1" x14ac:dyDescent="0.2">
      <c r="A339" s="444"/>
      <c r="B339" s="1"/>
      <c r="C339" s="1"/>
      <c r="D339" s="1"/>
      <c r="E339" s="1"/>
      <c r="F339" s="1"/>
      <c r="G339" s="445"/>
      <c r="H339" s="1"/>
      <c r="I339" s="446"/>
      <c r="J339" s="1"/>
      <c r="K339" s="1"/>
      <c r="L339" s="1"/>
      <c r="M339" s="431"/>
      <c r="N339" s="1"/>
      <c r="O339" s="1"/>
      <c r="Q339" s="1"/>
      <c r="W339" s="310"/>
      <c r="X339" s="310"/>
      <c r="Y339" s="310"/>
    </row>
    <row r="340" spans="1:25" ht="18.75" customHeight="1" x14ac:dyDescent="0.2">
      <c r="A340" s="444"/>
      <c r="B340" s="1"/>
      <c r="C340" s="1"/>
      <c r="D340" s="1"/>
      <c r="E340" s="1"/>
      <c r="F340" s="1"/>
      <c r="G340" s="445"/>
      <c r="H340" s="1"/>
      <c r="I340" s="446"/>
      <c r="J340" s="1"/>
      <c r="K340" s="1"/>
      <c r="L340" s="1"/>
      <c r="M340" s="431"/>
      <c r="N340" s="1"/>
      <c r="O340" s="1"/>
      <c r="Q340" s="1"/>
      <c r="W340" s="310"/>
      <c r="X340" s="310"/>
      <c r="Y340" s="310"/>
    </row>
    <row r="341" spans="1:25" ht="18.75" customHeight="1" x14ac:dyDescent="0.2">
      <c r="A341" s="444"/>
      <c r="B341" s="1"/>
      <c r="C341" s="1"/>
      <c r="D341" s="1"/>
      <c r="E341" s="1"/>
      <c r="F341" s="1"/>
      <c r="G341" s="445"/>
      <c r="H341" s="1"/>
      <c r="I341" s="446"/>
      <c r="J341" s="1"/>
      <c r="K341" s="1"/>
      <c r="L341" s="1"/>
      <c r="M341" s="431"/>
      <c r="N341" s="1"/>
      <c r="O341" s="1"/>
      <c r="Q341" s="1"/>
      <c r="W341" s="310"/>
      <c r="X341" s="310"/>
      <c r="Y341" s="310"/>
    </row>
    <row r="342" spans="1:25" ht="18.75" customHeight="1" x14ac:dyDescent="0.2">
      <c r="A342" s="444"/>
      <c r="B342" s="1"/>
      <c r="C342" s="1"/>
      <c r="D342" s="1"/>
      <c r="E342" s="1"/>
      <c r="F342" s="1"/>
      <c r="G342" s="445"/>
      <c r="H342" s="1"/>
      <c r="I342" s="446"/>
      <c r="J342" s="1"/>
      <c r="K342" s="1"/>
      <c r="L342" s="1"/>
      <c r="M342" s="431"/>
      <c r="N342" s="1"/>
      <c r="O342" s="1"/>
      <c r="Q342" s="1"/>
      <c r="W342" s="310"/>
      <c r="X342" s="310"/>
      <c r="Y342" s="310"/>
    </row>
    <row r="343" spans="1:25" ht="18.75" customHeight="1" x14ac:dyDescent="0.2">
      <c r="A343" s="444"/>
      <c r="B343" s="1"/>
      <c r="C343" s="1"/>
      <c r="D343" s="1"/>
      <c r="E343" s="1"/>
      <c r="F343" s="1"/>
      <c r="G343" s="445"/>
      <c r="H343" s="1"/>
      <c r="I343" s="446"/>
      <c r="J343" s="1"/>
      <c r="K343" s="1"/>
      <c r="L343" s="1"/>
      <c r="M343" s="431"/>
      <c r="N343" s="1"/>
      <c r="O343" s="1"/>
      <c r="Q343" s="1"/>
      <c r="W343" s="310"/>
      <c r="X343" s="310"/>
      <c r="Y343" s="310"/>
    </row>
    <row r="344" spans="1:25" ht="18.75" customHeight="1" x14ac:dyDescent="0.2">
      <c r="A344" s="444"/>
      <c r="B344" s="1"/>
      <c r="C344" s="1"/>
      <c r="D344" s="1"/>
      <c r="E344" s="1"/>
      <c r="F344" s="1"/>
      <c r="G344" s="445"/>
      <c r="H344" s="1"/>
      <c r="I344" s="446"/>
      <c r="J344" s="1"/>
      <c r="K344" s="1"/>
      <c r="L344" s="1"/>
      <c r="M344" s="431"/>
      <c r="N344" s="1"/>
      <c r="O344" s="1"/>
      <c r="Q344" s="1"/>
      <c r="W344" s="310"/>
      <c r="X344" s="310"/>
      <c r="Y344" s="310"/>
    </row>
    <row r="345" spans="1:25" ht="18.75" customHeight="1" x14ac:dyDescent="0.2">
      <c r="A345" s="444"/>
      <c r="B345" s="1"/>
      <c r="C345" s="1"/>
      <c r="D345" s="1"/>
      <c r="E345" s="1"/>
      <c r="F345" s="1"/>
      <c r="G345" s="445"/>
      <c r="H345" s="1"/>
      <c r="I345" s="446"/>
      <c r="J345" s="1"/>
      <c r="K345" s="1"/>
      <c r="L345" s="1"/>
      <c r="M345" s="431"/>
      <c r="N345" s="1"/>
      <c r="O345" s="1"/>
      <c r="Q345" s="1"/>
      <c r="W345" s="310"/>
      <c r="X345" s="310"/>
      <c r="Y345" s="310"/>
    </row>
    <row r="346" spans="1:25" ht="18.75" customHeight="1" x14ac:dyDescent="0.2">
      <c r="A346" s="444"/>
      <c r="B346" s="1"/>
      <c r="C346" s="1"/>
      <c r="D346" s="1"/>
      <c r="E346" s="1"/>
      <c r="F346" s="1"/>
      <c r="G346" s="445"/>
      <c r="H346" s="1"/>
      <c r="I346" s="446"/>
      <c r="J346" s="1"/>
      <c r="K346" s="1"/>
      <c r="L346" s="1"/>
      <c r="M346" s="431"/>
      <c r="N346" s="1"/>
      <c r="O346" s="1"/>
      <c r="Q346" s="1"/>
      <c r="W346" s="310"/>
      <c r="X346" s="310"/>
      <c r="Y346" s="310"/>
    </row>
    <row r="347" spans="1:25" ht="18.75" customHeight="1" x14ac:dyDescent="0.2">
      <c r="A347" s="444"/>
      <c r="B347" s="1"/>
      <c r="C347" s="1"/>
      <c r="D347" s="1"/>
      <c r="E347" s="1"/>
      <c r="F347" s="1"/>
      <c r="G347" s="445"/>
      <c r="H347" s="1"/>
      <c r="I347" s="446"/>
      <c r="J347" s="1"/>
      <c r="K347" s="1"/>
      <c r="L347" s="1"/>
      <c r="M347" s="431"/>
      <c r="N347" s="1"/>
      <c r="O347" s="1"/>
      <c r="Q347" s="1"/>
      <c r="W347" s="310"/>
      <c r="X347" s="310"/>
      <c r="Y347" s="310"/>
    </row>
    <row r="348" spans="1:25" ht="18.75" customHeight="1" x14ac:dyDescent="0.2">
      <c r="A348" s="444"/>
      <c r="B348" s="1"/>
      <c r="C348" s="1"/>
      <c r="D348" s="1"/>
      <c r="E348" s="1"/>
      <c r="F348" s="1"/>
      <c r="G348" s="445"/>
      <c r="H348" s="1"/>
      <c r="I348" s="446"/>
      <c r="J348" s="1"/>
      <c r="K348" s="1"/>
      <c r="L348" s="1"/>
      <c r="M348" s="431"/>
      <c r="N348" s="1"/>
      <c r="O348" s="1"/>
      <c r="Q348" s="1"/>
      <c r="W348" s="310"/>
      <c r="X348" s="310"/>
      <c r="Y348" s="310"/>
    </row>
    <row r="349" spans="1:25" ht="18.75" customHeight="1" x14ac:dyDescent="0.2">
      <c r="A349" s="444"/>
      <c r="B349" s="1"/>
      <c r="C349" s="1"/>
      <c r="D349" s="1"/>
      <c r="E349" s="1"/>
      <c r="F349" s="1"/>
      <c r="G349" s="445"/>
      <c r="H349" s="1"/>
      <c r="I349" s="446"/>
      <c r="J349" s="1"/>
      <c r="K349" s="1"/>
      <c r="L349" s="1"/>
      <c r="M349" s="431"/>
      <c r="N349" s="1"/>
      <c r="O349" s="1"/>
      <c r="Q349" s="1"/>
      <c r="W349" s="310"/>
      <c r="X349" s="310"/>
      <c r="Y349" s="310"/>
    </row>
    <row r="350" spans="1:25" ht="18.75" customHeight="1" x14ac:dyDescent="0.2">
      <c r="A350" s="444"/>
      <c r="B350" s="1"/>
      <c r="C350" s="1"/>
      <c r="D350" s="1"/>
      <c r="E350" s="1"/>
      <c r="F350" s="1"/>
      <c r="G350" s="445"/>
      <c r="H350" s="1"/>
      <c r="I350" s="446"/>
      <c r="J350" s="1"/>
      <c r="K350" s="1"/>
      <c r="L350" s="1"/>
      <c r="M350" s="431"/>
      <c r="N350" s="1"/>
      <c r="O350" s="1"/>
      <c r="Q350" s="1"/>
      <c r="W350" s="310"/>
      <c r="X350" s="310"/>
      <c r="Y350" s="310"/>
    </row>
    <row r="351" spans="1:25" ht="18.75" customHeight="1" x14ac:dyDescent="0.2">
      <c r="A351" s="444"/>
      <c r="B351" s="1"/>
      <c r="C351" s="1"/>
      <c r="D351" s="1"/>
      <c r="E351" s="1"/>
      <c r="F351" s="1"/>
      <c r="G351" s="445"/>
      <c r="H351" s="1"/>
      <c r="I351" s="446"/>
      <c r="J351" s="1"/>
      <c r="K351" s="1"/>
      <c r="L351" s="1"/>
      <c r="M351" s="431"/>
      <c r="N351" s="1"/>
      <c r="O351" s="1"/>
      <c r="Q351" s="1"/>
      <c r="W351" s="310"/>
      <c r="X351" s="310"/>
      <c r="Y351" s="310"/>
    </row>
    <row r="352" spans="1:25" ht="18.75" customHeight="1" x14ac:dyDescent="0.2">
      <c r="A352" s="444"/>
      <c r="B352" s="1"/>
      <c r="C352" s="1"/>
      <c r="D352" s="1"/>
      <c r="E352" s="1"/>
      <c r="F352" s="1"/>
      <c r="G352" s="445"/>
      <c r="H352" s="1"/>
      <c r="I352" s="446"/>
      <c r="J352" s="1"/>
      <c r="K352" s="1"/>
      <c r="L352" s="1"/>
      <c r="M352" s="431"/>
      <c r="N352" s="1"/>
      <c r="O352" s="1"/>
      <c r="Q352" s="1"/>
      <c r="W352" s="310"/>
      <c r="X352" s="310"/>
      <c r="Y352" s="310"/>
    </row>
    <row r="353" spans="1:25" ht="18.75" customHeight="1" x14ac:dyDescent="0.2">
      <c r="A353" s="444"/>
      <c r="B353" s="1"/>
      <c r="C353" s="1"/>
      <c r="D353" s="1"/>
      <c r="E353" s="1"/>
      <c r="F353" s="1"/>
      <c r="G353" s="445"/>
      <c r="H353" s="1"/>
      <c r="I353" s="446"/>
      <c r="J353" s="1"/>
      <c r="K353" s="1"/>
      <c r="L353" s="1"/>
      <c r="M353" s="431"/>
      <c r="N353" s="1"/>
      <c r="O353" s="1"/>
      <c r="Q353" s="1"/>
      <c r="W353" s="310"/>
      <c r="X353" s="310"/>
      <c r="Y353" s="310"/>
    </row>
    <row r="354" spans="1:25" ht="18.75" customHeight="1" x14ac:dyDescent="0.2">
      <c r="A354" s="444"/>
      <c r="B354" s="1"/>
      <c r="C354" s="1"/>
      <c r="D354" s="1"/>
      <c r="E354" s="1"/>
      <c r="F354" s="1"/>
      <c r="G354" s="445"/>
      <c r="H354" s="1"/>
      <c r="I354" s="446"/>
      <c r="J354" s="1"/>
      <c r="K354" s="1"/>
      <c r="L354" s="1"/>
      <c r="M354" s="431"/>
      <c r="N354" s="1"/>
      <c r="O354" s="1"/>
      <c r="Q354" s="1"/>
      <c r="W354" s="310"/>
      <c r="X354" s="310"/>
      <c r="Y354" s="310"/>
    </row>
    <row r="355" spans="1:25" ht="18.75" customHeight="1" x14ac:dyDescent="0.2">
      <c r="A355" s="444"/>
      <c r="B355" s="1"/>
      <c r="C355" s="1"/>
      <c r="D355" s="1"/>
      <c r="E355" s="1"/>
      <c r="F355" s="1"/>
      <c r="G355" s="445"/>
      <c r="H355" s="1"/>
      <c r="I355" s="446"/>
      <c r="J355" s="1"/>
      <c r="K355" s="1"/>
      <c r="L355" s="1"/>
      <c r="M355" s="431"/>
      <c r="N355" s="1"/>
      <c r="O355" s="1"/>
      <c r="Q355" s="1"/>
      <c r="W355" s="310"/>
      <c r="X355" s="310"/>
      <c r="Y355" s="310"/>
    </row>
    <row r="356" spans="1:25" ht="18.75" customHeight="1" x14ac:dyDescent="0.2">
      <c r="A356" s="444"/>
      <c r="B356" s="1"/>
      <c r="C356" s="1"/>
      <c r="D356" s="1"/>
      <c r="E356" s="1"/>
      <c r="F356" s="1"/>
      <c r="G356" s="445"/>
      <c r="H356" s="1"/>
      <c r="I356" s="446"/>
      <c r="J356" s="1"/>
      <c r="K356" s="1"/>
      <c r="L356" s="1"/>
      <c r="M356" s="431"/>
      <c r="N356" s="1"/>
      <c r="O356" s="1"/>
      <c r="Q356" s="1"/>
      <c r="W356" s="310"/>
      <c r="X356" s="310"/>
      <c r="Y356" s="310"/>
    </row>
    <row r="357" spans="1:25" ht="18.75" customHeight="1" x14ac:dyDescent="0.2">
      <c r="A357" s="444"/>
      <c r="B357" s="1"/>
      <c r="C357" s="1"/>
      <c r="D357" s="1"/>
      <c r="E357" s="1"/>
      <c r="F357" s="1"/>
      <c r="G357" s="445"/>
      <c r="H357" s="1"/>
      <c r="I357" s="446"/>
      <c r="J357" s="1"/>
      <c r="K357" s="1"/>
      <c r="L357" s="1"/>
      <c r="M357" s="431"/>
      <c r="N357" s="1"/>
      <c r="O357" s="1"/>
      <c r="Q357" s="1"/>
      <c r="W357" s="310"/>
      <c r="X357" s="310"/>
      <c r="Y357" s="310"/>
    </row>
    <row r="358" spans="1:25" ht="18.75" customHeight="1" x14ac:dyDescent="0.2">
      <c r="A358" s="444"/>
      <c r="B358" s="1"/>
      <c r="C358" s="1"/>
      <c r="D358" s="1"/>
      <c r="E358" s="1"/>
      <c r="F358" s="1"/>
      <c r="G358" s="445"/>
      <c r="H358" s="1"/>
      <c r="I358" s="446"/>
      <c r="J358" s="1"/>
      <c r="K358" s="1"/>
      <c r="L358" s="1"/>
      <c r="M358" s="431"/>
      <c r="N358" s="1"/>
      <c r="O358" s="1"/>
      <c r="Q358" s="1"/>
      <c r="W358" s="310"/>
      <c r="X358" s="310"/>
      <c r="Y358" s="310"/>
    </row>
    <row r="359" spans="1:25" ht="18.75" customHeight="1" x14ac:dyDescent="0.2">
      <c r="A359" s="444"/>
      <c r="B359" s="1"/>
      <c r="C359" s="1"/>
      <c r="D359" s="1"/>
      <c r="E359" s="1"/>
      <c r="F359" s="1"/>
      <c r="G359" s="445"/>
      <c r="H359" s="1"/>
      <c r="I359" s="446"/>
      <c r="J359" s="1"/>
      <c r="K359" s="1"/>
      <c r="L359" s="1"/>
      <c r="M359" s="431"/>
      <c r="N359" s="1"/>
      <c r="O359" s="1"/>
      <c r="Q359" s="1"/>
      <c r="W359" s="310"/>
      <c r="X359" s="310"/>
      <c r="Y359" s="310"/>
    </row>
    <row r="360" spans="1:25" ht="18.75" customHeight="1" x14ac:dyDescent="0.2">
      <c r="A360" s="444"/>
      <c r="B360" s="1"/>
      <c r="C360" s="1"/>
      <c r="D360" s="1"/>
      <c r="E360" s="1"/>
      <c r="F360" s="1"/>
      <c r="G360" s="445"/>
      <c r="H360" s="1"/>
      <c r="I360" s="446"/>
      <c r="J360" s="1"/>
      <c r="K360" s="1"/>
      <c r="L360" s="1"/>
      <c r="M360" s="431"/>
      <c r="N360" s="1"/>
      <c r="O360" s="1"/>
      <c r="Q360" s="1"/>
      <c r="W360" s="310"/>
      <c r="X360" s="310"/>
      <c r="Y360" s="310"/>
    </row>
    <row r="361" spans="1:25" ht="18.75" customHeight="1" x14ac:dyDescent="0.2">
      <c r="A361" s="444"/>
      <c r="B361" s="1"/>
      <c r="C361" s="1"/>
      <c r="D361" s="1"/>
      <c r="E361" s="1"/>
      <c r="F361" s="1"/>
      <c r="G361" s="445"/>
      <c r="H361" s="1"/>
      <c r="I361" s="446"/>
      <c r="J361" s="1"/>
      <c r="K361" s="1"/>
      <c r="L361" s="1"/>
      <c r="M361" s="431"/>
      <c r="N361" s="1"/>
      <c r="O361" s="1"/>
      <c r="Q361" s="1"/>
      <c r="W361" s="310"/>
      <c r="X361" s="310"/>
      <c r="Y361" s="310"/>
    </row>
    <row r="362" spans="1:25" ht="18.75" customHeight="1" x14ac:dyDescent="0.2">
      <c r="A362" s="444"/>
      <c r="B362" s="1"/>
      <c r="C362" s="1"/>
      <c r="D362" s="1"/>
      <c r="E362" s="1"/>
      <c r="F362" s="1"/>
      <c r="G362" s="445"/>
      <c r="H362" s="1"/>
      <c r="I362" s="446"/>
      <c r="J362" s="1"/>
      <c r="K362" s="1"/>
      <c r="L362" s="1"/>
      <c r="M362" s="431"/>
      <c r="N362" s="1"/>
      <c r="O362" s="1"/>
      <c r="Q362" s="1"/>
      <c r="W362" s="310"/>
      <c r="X362" s="310"/>
      <c r="Y362" s="310"/>
    </row>
    <row r="363" spans="1:25" ht="18.75" customHeight="1" x14ac:dyDescent="0.2">
      <c r="A363" s="444"/>
      <c r="B363" s="1"/>
      <c r="C363" s="1"/>
      <c r="D363" s="1"/>
      <c r="E363" s="1"/>
      <c r="F363" s="1"/>
      <c r="G363" s="445"/>
      <c r="H363" s="1"/>
      <c r="I363" s="446"/>
      <c r="J363" s="1"/>
      <c r="K363" s="1"/>
      <c r="L363" s="1"/>
      <c r="M363" s="431"/>
      <c r="N363" s="1"/>
      <c r="O363" s="1"/>
      <c r="Q363" s="1"/>
      <c r="W363" s="310"/>
      <c r="X363" s="310"/>
      <c r="Y363" s="310"/>
    </row>
    <row r="364" spans="1:25" ht="18.75" customHeight="1" x14ac:dyDescent="0.2">
      <c r="A364" s="444"/>
      <c r="B364" s="1"/>
      <c r="C364" s="1"/>
      <c r="D364" s="1"/>
      <c r="E364" s="1"/>
      <c r="F364" s="1"/>
      <c r="G364" s="445"/>
      <c r="H364" s="1"/>
      <c r="I364" s="446"/>
      <c r="J364" s="1"/>
      <c r="K364" s="1"/>
      <c r="L364" s="1"/>
      <c r="M364" s="431"/>
      <c r="N364" s="1"/>
      <c r="O364" s="1"/>
      <c r="Q364" s="1"/>
      <c r="W364" s="310"/>
      <c r="X364" s="310"/>
      <c r="Y364" s="310"/>
    </row>
    <row r="365" spans="1:25" ht="18.75" customHeight="1" x14ac:dyDescent="0.2">
      <c r="A365" s="444"/>
      <c r="B365" s="1"/>
      <c r="C365" s="1"/>
      <c r="D365" s="1"/>
      <c r="E365" s="1"/>
      <c r="F365" s="1"/>
      <c r="G365" s="445"/>
      <c r="H365" s="1"/>
      <c r="I365" s="446"/>
      <c r="J365" s="1"/>
      <c r="K365" s="1"/>
      <c r="L365" s="1"/>
      <c r="M365" s="431"/>
      <c r="N365" s="1"/>
      <c r="O365" s="1"/>
      <c r="Q365" s="1"/>
      <c r="W365" s="310"/>
      <c r="X365" s="310"/>
      <c r="Y365" s="310"/>
    </row>
    <row r="366" spans="1:25" ht="18.75" customHeight="1" x14ac:dyDescent="0.2">
      <c r="A366" s="444"/>
      <c r="B366" s="1"/>
      <c r="C366" s="1"/>
      <c r="D366" s="1"/>
      <c r="E366" s="1"/>
      <c r="F366" s="1"/>
      <c r="G366" s="445"/>
      <c r="H366" s="1"/>
      <c r="I366" s="446"/>
      <c r="J366" s="1"/>
      <c r="K366" s="1"/>
      <c r="L366" s="1"/>
      <c r="M366" s="431"/>
      <c r="N366" s="1"/>
      <c r="O366" s="1"/>
      <c r="Q366" s="1"/>
      <c r="W366" s="310"/>
      <c r="X366" s="310"/>
      <c r="Y366" s="310"/>
    </row>
    <row r="367" spans="1:25" ht="18.75" customHeight="1" x14ac:dyDescent="0.2">
      <c r="A367" s="444"/>
      <c r="B367" s="1"/>
      <c r="C367" s="1"/>
      <c r="D367" s="1"/>
      <c r="E367" s="1"/>
      <c r="F367" s="1"/>
      <c r="G367" s="445"/>
      <c r="H367" s="1"/>
      <c r="I367" s="446"/>
      <c r="J367" s="1"/>
      <c r="K367" s="1"/>
      <c r="L367" s="1"/>
      <c r="M367" s="431"/>
      <c r="N367" s="1"/>
      <c r="O367" s="1"/>
      <c r="Q367" s="1"/>
      <c r="W367" s="310"/>
      <c r="X367" s="310"/>
      <c r="Y367" s="310"/>
    </row>
    <row r="368" spans="1:25" ht="18.75" customHeight="1" x14ac:dyDescent="0.2">
      <c r="A368" s="444"/>
      <c r="B368" s="1"/>
      <c r="C368" s="1"/>
      <c r="D368" s="1"/>
      <c r="E368" s="1"/>
      <c r="F368" s="1"/>
      <c r="G368" s="445"/>
      <c r="H368" s="1"/>
      <c r="I368" s="446"/>
      <c r="J368" s="1"/>
      <c r="K368" s="1"/>
      <c r="L368" s="1"/>
      <c r="M368" s="431"/>
      <c r="N368" s="1"/>
      <c r="O368" s="1"/>
      <c r="Q368" s="1"/>
      <c r="W368" s="310"/>
      <c r="X368" s="310"/>
      <c r="Y368" s="310"/>
    </row>
    <row r="369" spans="1:25" ht="18.75" customHeight="1" x14ac:dyDescent="0.2">
      <c r="A369" s="444"/>
      <c r="B369" s="1"/>
      <c r="C369" s="1"/>
      <c r="D369" s="1"/>
      <c r="E369" s="1"/>
      <c r="F369" s="1"/>
      <c r="G369" s="445"/>
      <c r="H369" s="1"/>
      <c r="I369" s="446"/>
      <c r="J369" s="1"/>
      <c r="K369" s="1"/>
      <c r="L369" s="1"/>
      <c r="M369" s="431"/>
      <c r="N369" s="1"/>
      <c r="O369" s="1"/>
      <c r="Q369" s="1"/>
      <c r="W369" s="310"/>
      <c r="X369" s="310"/>
      <c r="Y369" s="310"/>
    </row>
    <row r="370" spans="1:25" ht="18.75" customHeight="1" x14ac:dyDescent="0.2">
      <c r="A370" s="444"/>
      <c r="B370" s="1"/>
      <c r="C370" s="1"/>
      <c r="D370" s="1"/>
      <c r="E370" s="1"/>
      <c r="F370" s="1"/>
      <c r="G370" s="445"/>
      <c r="H370" s="1"/>
      <c r="I370" s="446"/>
      <c r="J370" s="1"/>
      <c r="K370" s="1"/>
      <c r="L370" s="1"/>
      <c r="M370" s="431"/>
      <c r="N370" s="1"/>
      <c r="O370" s="1"/>
      <c r="Q370" s="1"/>
      <c r="W370" s="310"/>
      <c r="X370" s="310"/>
      <c r="Y370" s="310"/>
    </row>
    <row r="371" spans="1:25" ht="18.75" customHeight="1" x14ac:dyDescent="0.2">
      <c r="A371" s="444"/>
      <c r="B371" s="1"/>
      <c r="C371" s="1"/>
      <c r="D371" s="1"/>
      <c r="E371" s="1"/>
      <c r="F371" s="1"/>
      <c r="G371" s="445"/>
      <c r="H371" s="1"/>
      <c r="I371" s="446"/>
      <c r="J371" s="1"/>
      <c r="K371" s="1"/>
      <c r="L371" s="1"/>
      <c r="M371" s="431"/>
      <c r="N371" s="1"/>
      <c r="O371" s="1"/>
      <c r="Q371" s="1"/>
      <c r="W371" s="310"/>
      <c r="X371" s="310"/>
      <c r="Y371" s="310"/>
    </row>
    <row r="372" spans="1:25" ht="18.75" customHeight="1" x14ac:dyDescent="0.2">
      <c r="A372" s="444"/>
      <c r="B372" s="1"/>
      <c r="C372" s="1"/>
      <c r="D372" s="1"/>
      <c r="E372" s="1"/>
      <c r="F372" s="1"/>
      <c r="G372" s="445"/>
      <c r="H372" s="1"/>
      <c r="I372" s="446"/>
      <c r="J372" s="1"/>
      <c r="K372" s="1"/>
      <c r="L372" s="1"/>
      <c r="M372" s="431"/>
      <c r="N372" s="1"/>
      <c r="O372" s="1"/>
      <c r="Q372" s="1"/>
      <c r="W372" s="310"/>
      <c r="X372" s="310"/>
      <c r="Y372" s="310"/>
    </row>
    <row r="373" spans="1:25" ht="18.75" customHeight="1" x14ac:dyDescent="0.2">
      <c r="A373" s="444"/>
      <c r="B373" s="1"/>
      <c r="C373" s="1"/>
      <c r="D373" s="1"/>
      <c r="E373" s="1"/>
      <c r="F373" s="1"/>
      <c r="G373" s="445"/>
      <c r="H373" s="1"/>
      <c r="I373" s="446"/>
      <c r="J373" s="1"/>
      <c r="K373" s="1"/>
      <c r="L373" s="1"/>
      <c r="M373" s="431"/>
      <c r="N373" s="1"/>
      <c r="O373" s="1"/>
      <c r="Q373" s="1"/>
      <c r="W373" s="310"/>
      <c r="X373" s="310"/>
      <c r="Y373" s="310"/>
    </row>
    <row r="374" spans="1:25" ht="18.75" customHeight="1" x14ac:dyDescent="0.2">
      <c r="A374" s="444"/>
      <c r="B374" s="1"/>
      <c r="C374" s="1"/>
      <c r="D374" s="1"/>
      <c r="E374" s="1"/>
      <c r="F374" s="1"/>
      <c r="G374" s="445"/>
      <c r="H374" s="1"/>
      <c r="I374" s="446"/>
      <c r="J374" s="1"/>
      <c r="K374" s="1"/>
      <c r="L374" s="1"/>
      <c r="M374" s="431"/>
      <c r="N374" s="1"/>
      <c r="O374" s="1"/>
      <c r="Q374" s="1"/>
      <c r="W374" s="310"/>
      <c r="X374" s="310"/>
      <c r="Y374" s="310"/>
    </row>
    <row r="375" spans="1:25" ht="18.75" customHeight="1" x14ac:dyDescent="0.2">
      <c r="A375" s="444"/>
      <c r="B375" s="1"/>
      <c r="C375" s="1"/>
      <c r="D375" s="1"/>
      <c r="E375" s="1"/>
      <c r="F375" s="1"/>
      <c r="G375" s="445"/>
      <c r="H375" s="1"/>
      <c r="I375" s="446"/>
      <c r="J375" s="1"/>
      <c r="K375" s="1"/>
      <c r="L375" s="1"/>
      <c r="M375" s="431"/>
      <c r="N375" s="1"/>
      <c r="O375" s="1"/>
      <c r="Q375" s="1"/>
      <c r="W375" s="310"/>
      <c r="X375" s="310"/>
      <c r="Y375" s="310"/>
    </row>
    <row r="376" spans="1:25" ht="18.75" customHeight="1" x14ac:dyDescent="0.2">
      <c r="A376" s="444"/>
      <c r="B376" s="1"/>
      <c r="C376" s="1"/>
      <c r="D376" s="1"/>
      <c r="E376" s="1"/>
      <c r="F376" s="1"/>
      <c r="G376" s="445"/>
      <c r="H376" s="1"/>
      <c r="I376" s="446"/>
      <c r="J376" s="1"/>
      <c r="K376" s="1"/>
      <c r="L376" s="1"/>
      <c r="M376" s="431"/>
      <c r="N376" s="1"/>
      <c r="O376" s="1"/>
      <c r="Q376" s="1"/>
      <c r="W376" s="310"/>
      <c r="X376" s="310"/>
      <c r="Y376" s="310"/>
    </row>
    <row r="377" spans="1:25" ht="18.75" customHeight="1" x14ac:dyDescent="0.2">
      <c r="A377" s="444"/>
      <c r="B377" s="1"/>
      <c r="C377" s="1"/>
      <c r="D377" s="1"/>
      <c r="E377" s="1"/>
      <c r="F377" s="1"/>
      <c r="G377" s="445"/>
      <c r="H377" s="1"/>
      <c r="I377" s="446"/>
      <c r="J377" s="1"/>
      <c r="K377" s="1"/>
      <c r="L377" s="1"/>
      <c r="M377" s="431"/>
      <c r="N377" s="1"/>
      <c r="O377" s="1"/>
      <c r="Q377" s="1"/>
      <c r="W377" s="310"/>
      <c r="X377" s="310"/>
      <c r="Y377" s="310"/>
    </row>
    <row r="378" spans="1:25" ht="18.75" customHeight="1" x14ac:dyDescent="0.2">
      <c r="A378" s="444"/>
      <c r="B378" s="1"/>
      <c r="C378" s="1"/>
      <c r="D378" s="1"/>
      <c r="E378" s="1"/>
      <c r="F378" s="1"/>
      <c r="G378" s="445"/>
      <c r="H378" s="1"/>
      <c r="I378" s="446"/>
      <c r="J378" s="1"/>
      <c r="K378" s="1"/>
      <c r="L378" s="1"/>
      <c r="M378" s="431"/>
      <c r="N378" s="1"/>
      <c r="O378" s="1"/>
      <c r="Q378" s="1"/>
      <c r="W378" s="310"/>
      <c r="X378" s="310"/>
      <c r="Y378" s="310"/>
    </row>
    <row r="379" spans="1:25" ht="18.75" customHeight="1" x14ac:dyDescent="0.2">
      <c r="A379" s="444"/>
      <c r="B379" s="1"/>
      <c r="C379" s="1"/>
      <c r="D379" s="1"/>
      <c r="E379" s="1"/>
      <c r="F379" s="1"/>
      <c r="G379" s="445"/>
      <c r="H379" s="1"/>
      <c r="I379" s="446"/>
      <c r="J379" s="1"/>
      <c r="K379" s="1"/>
      <c r="L379" s="1"/>
      <c r="M379" s="431"/>
      <c r="N379" s="1"/>
      <c r="O379" s="1"/>
      <c r="Q379" s="1"/>
      <c r="W379" s="310"/>
      <c r="X379" s="310"/>
      <c r="Y379" s="310"/>
    </row>
    <row r="380" spans="1:25" ht="18.75" customHeight="1" x14ac:dyDescent="0.2">
      <c r="A380" s="444"/>
      <c r="B380" s="1"/>
      <c r="C380" s="1"/>
      <c r="D380" s="1"/>
      <c r="E380" s="1"/>
      <c r="F380" s="1"/>
      <c r="G380" s="445"/>
      <c r="H380" s="1"/>
      <c r="I380" s="446"/>
      <c r="J380" s="1"/>
      <c r="K380" s="1"/>
      <c r="L380" s="1"/>
      <c r="M380" s="431"/>
      <c r="N380" s="1"/>
      <c r="O380" s="1"/>
      <c r="Q380" s="1"/>
      <c r="W380" s="310"/>
      <c r="X380" s="310"/>
      <c r="Y380" s="310"/>
    </row>
    <row r="381" spans="1:25" ht="18.75" customHeight="1" x14ac:dyDescent="0.2">
      <c r="A381" s="444"/>
      <c r="B381" s="1"/>
      <c r="C381" s="1"/>
      <c r="D381" s="1"/>
      <c r="E381" s="1"/>
      <c r="F381" s="1"/>
      <c r="G381" s="445"/>
      <c r="H381" s="1"/>
      <c r="I381" s="446"/>
      <c r="J381" s="1"/>
      <c r="K381" s="1"/>
      <c r="L381" s="1"/>
      <c r="M381" s="431"/>
      <c r="N381" s="1"/>
      <c r="O381" s="1"/>
      <c r="Q381" s="1"/>
      <c r="W381" s="310"/>
      <c r="X381" s="310"/>
      <c r="Y381" s="310"/>
    </row>
    <row r="382" spans="1:25" ht="18.75" customHeight="1" x14ac:dyDescent="0.2">
      <c r="A382" s="444"/>
      <c r="B382" s="1"/>
      <c r="C382" s="1"/>
      <c r="D382" s="1"/>
      <c r="E382" s="1"/>
      <c r="F382" s="1"/>
      <c r="G382" s="445"/>
      <c r="H382" s="1"/>
      <c r="I382" s="446"/>
      <c r="J382" s="1"/>
      <c r="K382" s="1"/>
      <c r="L382" s="1"/>
      <c r="M382" s="431"/>
      <c r="N382" s="1"/>
      <c r="O382" s="1"/>
      <c r="Q382" s="1"/>
      <c r="W382" s="310"/>
      <c r="X382" s="310"/>
      <c r="Y382" s="310"/>
    </row>
    <row r="383" spans="1:25" ht="18.75" customHeight="1" x14ac:dyDescent="0.2">
      <c r="A383" s="444"/>
      <c r="B383" s="1"/>
      <c r="C383" s="1"/>
      <c r="D383" s="1"/>
      <c r="E383" s="1"/>
      <c r="F383" s="1"/>
      <c r="G383" s="445"/>
      <c r="H383" s="1"/>
      <c r="I383" s="446"/>
      <c r="J383" s="1"/>
      <c r="K383" s="1"/>
      <c r="L383" s="1"/>
      <c r="M383" s="431"/>
      <c r="N383" s="1"/>
      <c r="O383" s="1"/>
      <c r="Q383" s="1"/>
      <c r="W383" s="310"/>
      <c r="X383" s="310"/>
      <c r="Y383" s="310"/>
    </row>
    <row r="384" spans="1:25" ht="18.75" customHeight="1" x14ac:dyDescent="0.2">
      <c r="A384" s="444"/>
      <c r="B384" s="1"/>
      <c r="C384" s="1"/>
      <c r="D384" s="1"/>
      <c r="E384" s="1"/>
      <c r="F384" s="1"/>
      <c r="G384" s="445"/>
      <c r="H384" s="1"/>
      <c r="I384" s="446"/>
      <c r="J384" s="1"/>
      <c r="K384" s="1"/>
      <c r="L384" s="1"/>
      <c r="M384" s="431"/>
      <c r="N384" s="1"/>
      <c r="O384" s="1"/>
      <c r="Q384" s="1"/>
      <c r="W384" s="310"/>
      <c r="X384" s="310"/>
      <c r="Y384" s="310"/>
    </row>
    <row r="385" spans="1:25" ht="18.75" customHeight="1" x14ac:dyDescent="0.2">
      <c r="A385" s="444"/>
      <c r="B385" s="1"/>
      <c r="C385" s="1"/>
      <c r="D385" s="1"/>
      <c r="E385" s="1"/>
      <c r="F385" s="1"/>
      <c r="G385" s="445"/>
      <c r="H385" s="1"/>
      <c r="I385" s="446"/>
      <c r="J385" s="1"/>
      <c r="K385" s="1"/>
      <c r="L385" s="1"/>
      <c r="M385" s="431"/>
      <c r="N385" s="1"/>
      <c r="O385" s="1"/>
      <c r="Q385" s="1"/>
      <c r="W385" s="310"/>
      <c r="X385" s="310"/>
      <c r="Y385" s="310"/>
    </row>
    <row r="386" spans="1:25" ht="18.75" customHeight="1" x14ac:dyDescent="0.2">
      <c r="A386" s="444"/>
      <c r="B386" s="1"/>
      <c r="C386" s="1"/>
      <c r="D386" s="1"/>
      <c r="E386" s="1"/>
      <c r="F386" s="1"/>
      <c r="G386" s="445"/>
      <c r="H386" s="1"/>
      <c r="I386" s="446"/>
      <c r="J386" s="1"/>
      <c r="K386" s="1"/>
      <c r="L386" s="1"/>
      <c r="M386" s="431"/>
      <c r="N386" s="1"/>
      <c r="O386" s="1"/>
      <c r="Q386" s="1"/>
      <c r="W386" s="310"/>
      <c r="X386" s="310"/>
      <c r="Y386" s="310"/>
    </row>
    <row r="387" spans="1:25" ht="18.75" customHeight="1" x14ac:dyDescent="0.2">
      <c r="A387" s="444"/>
      <c r="B387" s="1"/>
      <c r="C387" s="1"/>
      <c r="D387" s="1"/>
      <c r="E387" s="1"/>
      <c r="F387" s="1"/>
      <c r="G387" s="445"/>
      <c r="H387" s="1"/>
      <c r="I387" s="446"/>
      <c r="J387" s="1"/>
      <c r="K387" s="1"/>
      <c r="L387" s="1"/>
      <c r="M387" s="431"/>
      <c r="N387" s="1"/>
      <c r="O387" s="1"/>
      <c r="Q387" s="1"/>
      <c r="W387" s="310"/>
      <c r="X387" s="310"/>
      <c r="Y387" s="310"/>
    </row>
    <row r="388" spans="1:25" ht="18.75" customHeight="1" x14ac:dyDescent="0.2">
      <c r="A388" s="444"/>
      <c r="B388" s="1"/>
      <c r="C388" s="1"/>
      <c r="D388" s="1"/>
      <c r="E388" s="1"/>
      <c r="F388" s="1"/>
      <c r="G388" s="445"/>
      <c r="H388" s="1"/>
      <c r="I388" s="446"/>
      <c r="J388" s="1"/>
      <c r="K388" s="1"/>
      <c r="L388" s="1"/>
      <c r="M388" s="431"/>
      <c r="N388" s="1"/>
      <c r="O388" s="1"/>
      <c r="Q388" s="1"/>
      <c r="W388" s="310"/>
      <c r="X388" s="310"/>
      <c r="Y388" s="310"/>
    </row>
    <row r="389" spans="1:25" ht="18.75" customHeight="1" x14ac:dyDescent="0.2">
      <c r="A389" s="444"/>
      <c r="B389" s="1"/>
      <c r="C389" s="1"/>
      <c r="D389" s="1"/>
      <c r="E389" s="1"/>
      <c r="F389" s="1"/>
      <c r="G389" s="445"/>
      <c r="H389" s="1"/>
      <c r="I389" s="446"/>
      <c r="J389" s="1"/>
      <c r="K389" s="1"/>
      <c r="L389" s="1"/>
      <c r="M389" s="431"/>
      <c r="N389" s="1"/>
      <c r="O389" s="1"/>
      <c r="Q389" s="1"/>
      <c r="W389" s="310"/>
      <c r="X389" s="310"/>
      <c r="Y389" s="310"/>
    </row>
    <row r="390" spans="1:25" ht="18.75" customHeight="1" x14ac:dyDescent="0.2">
      <c r="A390" s="444"/>
      <c r="B390" s="1"/>
      <c r="C390" s="1"/>
      <c r="D390" s="1"/>
      <c r="E390" s="1"/>
      <c r="F390" s="1"/>
      <c r="G390" s="445"/>
      <c r="H390" s="1"/>
      <c r="I390" s="446"/>
      <c r="J390" s="1"/>
      <c r="K390" s="1"/>
      <c r="L390" s="1"/>
      <c r="M390" s="431"/>
      <c r="N390" s="1"/>
      <c r="O390" s="1"/>
      <c r="Q390" s="1"/>
      <c r="W390" s="310"/>
      <c r="X390" s="310"/>
      <c r="Y390" s="310"/>
    </row>
    <row r="391" spans="1:25" ht="18.75" customHeight="1" x14ac:dyDescent="0.2">
      <c r="A391" s="444"/>
      <c r="B391" s="1"/>
      <c r="C391" s="1"/>
      <c r="D391" s="1"/>
      <c r="E391" s="1"/>
      <c r="F391" s="1"/>
      <c r="G391" s="445"/>
      <c r="H391" s="1"/>
      <c r="I391" s="446"/>
      <c r="J391" s="1"/>
      <c r="K391" s="1"/>
      <c r="L391" s="1"/>
      <c r="M391" s="431"/>
      <c r="N391" s="1"/>
      <c r="O391" s="1"/>
      <c r="Q391" s="1"/>
      <c r="W391" s="310"/>
      <c r="X391" s="310"/>
      <c r="Y391" s="310"/>
    </row>
    <row r="392" spans="1:25" ht="18.75" customHeight="1" x14ac:dyDescent="0.2">
      <c r="A392" s="444"/>
      <c r="B392" s="1"/>
      <c r="C392" s="1"/>
      <c r="D392" s="1"/>
      <c r="E392" s="1"/>
      <c r="F392" s="1"/>
      <c r="G392" s="445"/>
      <c r="H392" s="1"/>
      <c r="I392" s="446"/>
      <c r="J392" s="1"/>
      <c r="K392" s="1"/>
      <c r="L392" s="1"/>
      <c r="M392" s="431"/>
      <c r="N392" s="1"/>
      <c r="O392" s="1"/>
      <c r="Q392" s="1"/>
      <c r="W392" s="310"/>
      <c r="X392" s="310"/>
      <c r="Y392" s="310"/>
    </row>
    <row r="393" spans="1:25" ht="18.75" customHeight="1" x14ac:dyDescent="0.2">
      <c r="A393" s="444"/>
      <c r="B393" s="1"/>
      <c r="C393" s="1"/>
      <c r="D393" s="1"/>
      <c r="E393" s="1"/>
      <c r="F393" s="1"/>
      <c r="G393" s="445"/>
      <c r="H393" s="1"/>
      <c r="I393" s="446"/>
      <c r="J393" s="1"/>
      <c r="K393" s="1"/>
      <c r="L393" s="1"/>
      <c r="M393" s="431"/>
      <c r="N393" s="1"/>
      <c r="O393" s="1"/>
      <c r="Q393" s="1"/>
      <c r="W393" s="310"/>
      <c r="X393" s="310"/>
      <c r="Y393" s="310"/>
    </row>
    <row r="394" spans="1:25" ht="18.75" customHeight="1" x14ac:dyDescent="0.2">
      <c r="A394" s="444"/>
      <c r="B394" s="1"/>
      <c r="C394" s="1"/>
      <c r="D394" s="1"/>
      <c r="E394" s="1"/>
      <c r="F394" s="1"/>
      <c r="G394" s="445"/>
      <c r="H394" s="1"/>
      <c r="I394" s="446"/>
      <c r="J394" s="1"/>
      <c r="K394" s="1"/>
      <c r="L394" s="1"/>
      <c r="M394" s="431"/>
      <c r="N394" s="1"/>
      <c r="O394" s="1"/>
      <c r="Q394" s="1"/>
      <c r="W394" s="310"/>
      <c r="X394" s="310"/>
      <c r="Y394" s="310"/>
    </row>
    <row r="395" spans="1:25" ht="18.75" customHeight="1" x14ac:dyDescent="0.2">
      <c r="A395" s="444"/>
      <c r="B395" s="1"/>
      <c r="C395" s="1"/>
      <c r="D395" s="1"/>
      <c r="E395" s="1"/>
      <c r="F395" s="1"/>
      <c r="G395" s="445"/>
      <c r="H395" s="1"/>
      <c r="I395" s="446"/>
      <c r="J395" s="1"/>
      <c r="K395" s="1"/>
      <c r="L395" s="1"/>
      <c r="M395" s="431"/>
      <c r="N395" s="1"/>
      <c r="O395" s="1"/>
      <c r="Q395" s="1"/>
      <c r="W395" s="310"/>
      <c r="X395" s="310"/>
      <c r="Y395" s="310"/>
    </row>
    <row r="396" spans="1:25" ht="18.75" customHeight="1" x14ac:dyDescent="0.2">
      <c r="A396" s="444"/>
      <c r="B396" s="1"/>
      <c r="C396" s="1"/>
      <c r="D396" s="1"/>
      <c r="E396" s="1"/>
      <c r="F396" s="1"/>
      <c r="G396" s="445"/>
      <c r="H396" s="1"/>
      <c r="I396" s="446"/>
      <c r="J396" s="1"/>
      <c r="K396" s="1"/>
      <c r="L396" s="1"/>
      <c r="M396" s="431"/>
      <c r="N396" s="1"/>
      <c r="O396" s="1"/>
      <c r="Q396" s="1"/>
      <c r="W396" s="310"/>
      <c r="X396" s="310"/>
      <c r="Y396" s="310"/>
    </row>
    <row r="397" spans="1:25" ht="18.75" customHeight="1" x14ac:dyDescent="0.2">
      <c r="A397" s="444"/>
      <c r="B397" s="1"/>
      <c r="C397" s="1"/>
      <c r="D397" s="1"/>
      <c r="E397" s="1"/>
      <c r="F397" s="1"/>
      <c r="G397" s="445"/>
      <c r="H397" s="1"/>
      <c r="I397" s="446"/>
      <c r="J397" s="1"/>
      <c r="K397" s="1"/>
      <c r="L397" s="1"/>
      <c r="M397" s="431"/>
      <c r="N397" s="1"/>
      <c r="O397" s="1"/>
      <c r="Q397" s="1"/>
      <c r="W397" s="310"/>
      <c r="X397" s="310"/>
      <c r="Y397" s="310"/>
    </row>
    <row r="398" spans="1:25" ht="18.75" customHeight="1" x14ac:dyDescent="0.2">
      <c r="A398" s="444"/>
      <c r="B398" s="1"/>
      <c r="C398" s="1"/>
      <c r="D398" s="1"/>
      <c r="E398" s="1"/>
      <c r="F398" s="1"/>
      <c r="G398" s="445"/>
      <c r="H398" s="1"/>
      <c r="I398" s="446"/>
      <c r="J398" s="1"/>
      <c r="K398" s="1"/>
      <c r="L398" s="1"/>
      <c r="M398" s="431"/>
      <c r="N398" s="1"/>
      <c r="O398" s="1"/>
      <c r="Q398" s="1"/>
      <c r="W398" s="310"/>
      <c r="X398" s="310"/>
      <c r="Y398" s="310"/>
    </row>
    <row r="399" spans="1:25" ht="18.75" customHeight="1" x14ac:dyDescent="0.2">
      <c r="A399" s="444"/>
      <c r="B399" s="1"/>
      <c r="C399" s="1"/>
      <c r="D399" s="1"/>
      <c r="E399" s="1"/>
      <c r="F399" s="1"/>
      <c r="G399" s="445"/>
      <c r="H399" s="1"/>
      <c r="I399" s="446"/>
      <c r="J399" s="1"/>
      <c r="K399" s="1"/>
      <c r="L399" s="1"/>
      <c r="M399" s="431"/>
      <c r="N399" s="1"/>
      <c r="O399" s="1"/>
      <c r="Q399" s="1"/>
      <c r="W399" s="310"/>
      <c r="X399" s="310"/>
      <c r="Y399" s="310"/>
    </row>
    <row r="400" spans="1:25" ht="18.75" customHeight="1" x14ac:dyDescent="0.2">
      <c r="A400" s="444"/>
      <c r="B400" s="1"/>
      <c r="C400" s="1"/>
      <c r="D400" s="1"/>
      <c r="E400" s="1"/>
      <c r="F400" s="1"/>
      <c r="G400" s="445"/>
      <c r="H400" s="1"/>
      <c r="I400" s="446"/>
      <c r="J400" s="1"/>
      <c r="K400" s="1"/>
      <c r="L400" s="1"/>
      <c r="M400" s="431"/>
      <c r="N400" s="1"/>
      <c r="O400" s="1"/>
      <c r="Q400" s="1"/>
      <c r="W400" s="310"/>
      <c r="X400" s="310"/>
      <c r="Y400" s="310"/>
    </row>
    <row r="401" spans="1:25" ht="18.75" customHeight="1" x14ac:dyDescent="0.2">
      <c r="A401" s="444"/>
      <c r="B401" s="1"/>
      <c r="C401" s="1"/>
      <c r="D401" s="1"/>
      <c r="E401" s="1"/>
      <c r="F401" s="1"/>
      <c r="G401" s="445"/>
      <c r="H401" s="1"/>
      <c r="I401" s="446"/>
      <c r="J401" s="1"/>
      <c r="K401" s="1"/>
      <c r="L401" s="1"/>
      <c r="M401" s="431"/>
      <c r="N401" s="1"/>
      <c r="O401" s="1"/>
      <c r="Q401" s="1"/>
      <c r="W401" s="310"/>
      <c r="X401" s="310"/>
      <c r="Y401" s="310"/>
    </row>
    <row r="402" spans="1:25" ht="18.75" customHeight="1" x14ac:dyDescent="0.2">
      <c r="A402" s="444"/>
      <c r="B402" s="1"/>
      <c r="C402" s="1"/>
      <c r="D402" s="1"/>
      <c r="E402" s="1"/>
      <c r="F402" s="1"/>
      <c r="G402" s="445"/>
      <c r="H402" s="1"/>
      <c r="I402" s="446"/>
      <c r="J402" s="1"/>
      <c r="K402" s="1"/>
      <c r="L402" s="1"/>
      <c r="M402" s="431"/>
      <c r="N402" s="1"/>
      <c r="O402" s="1"/>
      <c r="Q402" s="1"/>
      <c r="W402" s="310"/>
      <c r="X402" s="310"/>
      <c r="Y402" s="310"/>
    </row>
    <row r="403" spans="1:25" ht="18.75" customHeight="1" x14ac:dyDescent="0.2">
      <c r="A403" s="444"/>
      <c r="B403" s="1"/>
      <c r="C403" s="1"/>
      <c r="D403" s="1"/>
      <c r="E403" s="1"/>
      <c r="F403" s="1"/>
      <c r="G403" s="445"/>
      <c r="H403" s="1"/>
      <c r="I403" s="446"/>
      <c r="J403" s="1"/>
      <c r="K403" s="1"/>
      <c r="L403" s="1"/>
      <c r="M403" s="431"/>
      <c r="N403" s="1"/>
      <c r="O403" s="1"/>
      <c r="Q403" s="1"/>
      <c r="W403" s="310"/>
      <c r="X403" s="310"/>
      <c r="Y403" s="310"/>
    </row>
    <row r="404" spans="1:25" ht="18.75" customHeight="1" x14ac:dyDescent="0.2">
      <c r="A404" s="444"/>
      <c r="B404" s="1"/>
      <c r="C404" s="1"/>
      <c r="D404" s="1"/>
      <c r="E404" s="1"/>
      <c r="F404" s="1"/>
      <c r="G404" s="445"/>
      <c r="H404" s="1"/>
      <c r="I404" s="446"/>
      <c r="J404" s="1"/>
      <c r="K404" s="1"/>
      <c r="L404" s="1"/>
      <c r="M404" s="431"/>
      <c r="N404" s="1"/>
      <c r="O404" s="1"/>
      <c r="Q404" s="1"/>
      <c r="W404" s="310"/>
      <c r="X404" s="310"/>
      <c r="Y404" s="310"/>
    </row>
    <row r="405" spans="1:25" ht="18.75" customHeight="1" x14ac:dyDescent="0.2">
      <c r="A405" s="444"/>
      <c r="B405" s="1"/>
      <c r="C405" s="1"/>
      <c r="D405" s="1"/>
      <c r="E405" s="1"/>
      <c r="F405" s="1"/>
      <c r="G405" s="445"/>
      <c r="H405" s="1"/>
      <c r="I405" s="446"/>
      <c r="J405" s="1"/>
      <c r="K405" s="1"/>
      <c r="L405" s="1"/>
      <c r="M405" s="431"/>
      <c r="N405" s="1"/>
      <c r="O405" s="1"/>
      <c r="Q405" s="1"/>
      <c r="W405" s="310"/>
      <c r="X405" s="310"/>
      <c r="Y405" s="310"/>
    </row>
    <row r="406" spans="1:25" ht="18.75" customHeight="1" x14ac:dyDescent="0.2">
      <c r="A406" s="444"/>
      <c r="B406" s="1"/>
      <c r="C406" s="1"/>
      <c r="D406" s="1"/>
      <c r="E406" s="1"/>
      <c r="F406" s="1"/>
      <c r="G406" s="445"/>
      <c r="H406" s="1"/>
      <c r="I406" s="446"/>
      <c r="J406" s="1"/>
      <c r="K406" s="1"/>
      <c r="L406" s="1"/>
      <c r="M406" s="431"/>
      <c r="N406" s="1"/>
      <c r="O406" s="1"/>
      <c r="Q406" s="1"/>
      <c r="W406" s="310"/>
      <c r="X406" s="310"/>
      <c r="Y406" s="310"/>
    </row>
    <row r="407" spans="1:25" ht="18.75" customHeight="1" x14ac:dyDescent="0.2">
      <c r="A407" s="444"/>
      <c r="B407" s="1"/>
      <c r="C407" s="1"/>
      <c r="D407" s="1"/>
      <c r="E407" s="1"/>
      <c r="F407" s="1"/>
      <c r="G407" s="445"/>
      <c r="H407" s="1"/>
      <c r="I407" s="446"/>
      <c r="J407" s="1"/>
      <c r="K407" s="1"/>
      <c r="L407" s="1"/>
      <c r="M407" s="431"/>
      <c r="N407" s="1"/>
      <c r="O407" s="1"/>
      <c r="Q407" s="1"/>
      <c r="W407" s="310"/>
      <c r="X407" s="310"/>
      <c r="Y407" s="310"/>
    </row>
    <row r="408" spans="1:25" ht="18.75" customHeight="1" x14ac:dyDescent="0.2">
      <c r="A408" s="444"/>
      <c r="B408" s="1"/>
      <c r="C408" s="1"/>
      <c r="D408" s="1"/>
      <c r="E408" s="1"/>
      <c r="F408" s="1"/>
      <c r="G408" s="445"/>
      <c r="H408" s="1"/>
      <c r="I408" s="446"/>
      <c r="J408" s="1"/>
      <c r="K408" s="1"/>
      <c r="L408" s="1"/>
      <c r="M408" s="431"/>
      <c r="N408" s="1"/>
      <c r="O408" s="1"/>
      <c r="Q408" s="1"/>
      <c r="W408" s="310"/>
      <c r="X408" s="310"/>
      <c r="Y408" s="310"/>
    </row>
    <row r="409" spans="1:25" ht="18.75" customHeight="1" x14ac:dyDescent="0.2">
      <c r="A409" s="444"/>
      <c r="B409" s="1"/>
      <c r="C409" s="1"/>
      <c r="D409" s="1"/>
      <c r="E409" s="1"/>
      <c r="F409" s="1"/>
      <c r="G409" s="445"/>
      <c r="H409" s="1"/>
      <c r="I409" s="446"/>
      <c r="J409" s="1"/>
      <c r="K409" s="1"/>
      <c r="L409" s="1"/>
      <c r="M409" s="431"/>
      <c r="N409" s="1"/>
      <c r="O409" s="1"/>
      <c r="Q409" s="1"/>
      <c r="W409" s="310"/>
      <c r="X409" s="310"/>
      <c r="Y409" s="310"/>
    </row>
    <row r="410" spans="1:25" ht="18.75" customHeight="1" x14ac:dyDescent="0.2">
      <c r="A410" s="444"/>
      <c r="B410" s="1"/>
      <c r="C410" s="1"/>
      <c r="D410" s="1"/>
      <c r="E410" s="1"/>
      <c r="F410" s="1"/>
      <c r="G410" s="445"/>
      <c r="H410" s="1"/>
      <c r="I410" s="446"/>
      <c r="J410" s="1"/>
      <c r="K410" s="1"/>
      <c r="L410" s="1"/>
      <c r="M410" s="431"/>
      <c r="N410" s="1"/>
      <c r="O410" s="1"/>
      <c r="Q410" s="1"/>
      <c r="W410" s="310"/>
      <c r="X410" s="310"/>
      <c r="Y410" s="310"/>
    </row>
    <row r="411" spans="1:25" ht="18.75" customHeight="1" x14ac:dyDescent="0.2">
      <c r="A411" s="444"/>
      <c r="B411" s="1"/>
      <c r="C411" s="1"/>
      <c r="D411" s="1"/>
      <c r="E411" s="1"/>
      <c r="F411" s="1"/>
      <c r="G411" s="445"/>
      <c r="H411" s="1"/>
      <c r="I411" s="446"/>
      <c r="J411" s="1"/>
      <c r="K411" s="1"/>
      <c r="L411" s="1"/>
      <c r="M411" s="431"/>
      <c r="N411" s="1"/>
      <c r="O411" s="1"/>
      <c r="Q411" s="1"/>
      <c r="W411" s="310"/>
      <c r="X411" s="310"/>
      <c r="Y411" s="310"/>
    </row>
    <row r="412" spans="1:25" ht="18.75" customHeight="1" x14ac:dyDescent="0.2">
      <c r="A412" s="444"/>
      <c r="B412" s="1"/>
      <c r="C412" s="1"/>
      <c r="D412" s="1"/>
      <c r="E412" s="1"/>
      <c r="F412" s="1"/>
      <c r="G412" s="445"/>
      <c r="H412" s="1"/>
      <c r="I412" s="446"/>
      <c r="J412" s="1"/>
      <c r="K412" s="1"/>
      <c r="L412" s="1"/>
      <c r="M412" s="431"/>
      <c r="N412" s="1"/>
      <c r="O412" s="1"/>
      <c r="Q412" s="1"/>
      <c r="W412" s="310"/>
      <c r="X412" s="310"/>
      <c r="Y412" s="310"/>
    </row>
    <row r="413" spans="1:25" ht="18.75" customHeight="1" x14ac:dyDescent="0.2">
      <c r="A413" s="444"/>
      <c r="B413" s="1"/>
      <c r="C413" s="1"/>
      <c r="D413" s="1"/>
      <c r="E413" s="1"/>
      <c r="F413" s="1"/>
      <c r="G413" s="445"/>
      <c r="H413" s="1"/>
      <c r="I413" s="446"/>
      <c r="J413" s="1"/>
      <c r="K413" s="1"/>
      <c r="L413" s="1"/>
      <c r="M413" s="431"/>
      <c r="N413" s="1"/>
      <c r="O413" s="1"/>
      <c r="Q413" s="1"/>
      <c r="W413" s="310"/>
      <c r="X413" s="310"/>
      <c r="Y413" s="310"/>
    </row>
    <row r="414" spans="1:25" ht="18.75" customHeight="1" x14ac:dyDescent="0.2">
      <c r="A414" s="444"/>
      <c r="B414" s="1"/>
      <c r="C414" s="1"/>
      <c r="D414" s="1"/>
      <c r="E414" s="1"/>
      <c r="F414" s="1"/>
      <c r="G414" s="445"/>
      <c r="H414" s="1"/>
      <c r="I414" s="446"/>
      <c r="J414" s="1"/>
      <c r="K414" s="1"/>
      <c r="L414" s="1"/>
      <c r="M414" s="431"/>
      <c r="N414" s="1"/>
      <c r="O414" s="1"/>
      <c r="Q414" s="1"/>
      <c r="W414" s="310"/>
      <c r="X414" s="310"/>
      <c r="Y414" s="310"/>
    </row>
    <row r="415" spans="1:25" ht="18.75" customHeight="1" x14ac:dyDescent="0.2">
      <c r="A415" s="444"/>
      <c r="B415" s="1"/>
      <c r="C415" s="1"/>
      <c r="D415" s="1"/>
      <c r="E415" s="1"/>
      <c r="F415" s="1"/>
      <c r="G415" s="445"/>
      <c r="H415" s="1"/>
      <c r="I415" s="446"/>
      <c r="J415" s="1"/>
      <c r="K415" s="1"/>
      <c r="L415" s="1"/>
      <c r="M415" s="431"/>
      <c r="N415" s="1"/>
      <c r="O415" s="1"/>
      <c r="Q415" s="1"/>
      <c r="W415" s="310"/>
      <c r="X415" s="310"/>
      <c r="Y415" s="310"/>
    </row>
    <row r="416" spans="1:25" ht="18.75" customHeight="1" x14ac:dyDescent="0.2">
      <c r="A416" s="444"/>
      <c r="B416" s="1"/>
      <c r="C416" s="1"/>
      <c r="D416" s="1"/>
      <c r="E416" s="1"/>
      <c r="F416" s="1"/>
      <c r="G416" s="445"/>
      <c r="H416" s="1"/>
      <c r="I416" s="446"/>
      <c r="J416" s="1"/>
      <c r="K416" s="1"/>
      <c r="L416" s="1"/>
      <c r="M416" s="431"/>
      <c r="N416" s="1"/>
      <c r="O416" s="1"/>
      <c r="Q416" s="1"/>
      <c r="W416" s="310"/>
      <c r="X416" s="310"/>
      <c r="Y416" s="310"/>
    </row>
    <row r="417" spans="1:25" ht="18.75" customHeight="1" x14ac:dyDescent="0.2">
      <c r="A417" s="444"/>
      <c r="B417" s="1"/>
      <c r="C417" s="1"/>
      <c r="D417" s="1"/>
      <c r="E417" s="1"/>
      <c r="F417" s="1"/>
      <c r="G417" s="445"/>
      <c r="H417" s="1"/>
      <c r="I417" s="446"/>
      <c r="J417" s="1"/>
      <c r="K417" s="1"/>
      <c r="L417" s="1"/>
      <c r="M417" s="431"/>
      <c r="N417" s="1"/>
      <c r="O417" s="1"/>
      <c r="Q417" s="1"/>
      <c r="W417" s="310"/>
      <c r="X417" s="310"/>
      <c r="Y417" s="310"/>
    </row>
    <row r="418" spans="1:25" ht="18.75" customHeight="1" x14ac:dyDescent="0.2">
      <c r="A418" s="444"/>
      <c r="B418" s="1"/>
      <c r="C418" s="1"/>
      <c r="D418" s="1"/>
      <c r="E418" s="1"/>
      <c r="F418" s="1"/>
      <c r="G418" s="445"/>
      <c r="H418" s="1"/>
      <c r="I418" s="446"/>
      <c r="J418" s="1"/>
      <c r="K418" s="1"/>
      <c r="L418" s="1"/>
      <c r="M418" s="431"/>
      <c r="N418" s="1"/>
      <c r="O418" s="1"/>
      <c r="Q418" s="1"/>
      <c r="W418" s="310"/>
      <c r="X418" s="310"/>
      <c r="Y418" s="310"/>
    </row>
    <row r="419" spans="1:25" ht="18.75" customHeight="1" x14ac:dyDescent="0.2">
      <c r="A419" s="444"/>
      <c r="B419" s="1"/>
      <c r="C419" s="1"/>
      <c r="D419" s="1"/>
      <c r="E419" s="1"/>
      <c r="F419" s="1"/>
      <c r="G419" s="445"/>
      <c r="H419" s="1"/>
      <c r="I419" s="446"/>
      <c r="J419" s="1"/>
      <c r="K419" s="1"/>
      <c r="L419" s="1"/>
      <c r="M419" s="431"/>
      <c r="N419" s="1"/>
      <c r="O419" s="1"/>
      <c r="Q419" s="1"/>
      <c r="W419" s="310"/>
      <c r="X419" s="310"/>
      <c r="Y419" s="310"/>
    </row>
    <row r="420" spans="1:25" ht="18.75" customHeight="1" x14ac:dyDescent="0.2">
      <c r="A420" s="444"/>
      <c r="B420" s="1"/>
      <c r="C420" s="1"/>
      <c r="D420" s="1"/>
      <c r="E420" s="1"/>
      <c r="F420" s="1"/>
      <c r="G420" s="445"/>
      <c r="H420" s="1"/>
      <c r="I420" s="446"/>
      <c r="J420" s="1"/>
      <c r="K420" s="1"/>
      <c r="L420" s="1"/>
      <c r="M420" s="431"/>
      <c r="N420" s="1"/>
      <c r="O420" s="1"/>
      <c r="Q420" s="1"/>
      <c r="W420" s="310"/>
      <c r="X420" s="310"/>
      <c r="Y420" s="310"/>
    </row>
    <row r="421" spans="1:25" ht="18.75" customHeight="1" x14ac:dyDescent="0.2">
      <c r="A421" s="444"/>
      <c r="B421" s="1"/>
      <c r="C421" s="1"/>
      <c r="D421" s="1"/>
      <c r="E421" s="1"/>
      <c r="F421" s="1"/>
      <c r="G421" s="445"/>
      <c r="H421" s="1"/>
      <c r="I421" s="446"/>
      <c r="J421" s="1"/>
      <c r="K421" s="1"/>
      <c r="L421" s="1"/>
      <c r="M421" s="431"/>
      <c r="N421" s="1"/>
      <c r="O421" s="1"/>
      <c r="Q421" s="1"/>
      <c r="W421" s="310"/>
      <c r="X421" s="310"/>
      <c r="Y421" s="310"/>
    </row>
    <row r="422" spans="1:25" ht="18.75" customHeight="1" x14ac:dyDescent="0.2">
      <c r="A422" s="444"/>
      <c r="B422" s="1"/>
      <c r="C422" s="1"/>
      <c r="D422" s="1"/>
      <c r="E422" s="1"/>
      <c r="F422" s="1"/>
      <c r="G422" s="445"/>
      <c r="H422" s="1"/>
      <c r="I422" s="446"/>
      <c r="J422" s="1"/>
      <c r="K422" s="1"/>
      <c r="L422" s="1"/>
      <c r="M422" s="431"/>
      <c r="N422" s="1"/>
      <c r="O422" s="1"/>
      <c r="Q422" s="1"/>
      <c r="W422" s="310"/>
      <c r="X422" s="310"/>
      <c r="Y422" s="310"/>
    </row>
    <row r="423" spans="1:25" ht="18.75" customHeight="1" x14ac:dyDescent="0.2">
      <c r="A423" s="444"/>
      <c r="B423" s="1"/>
      <c r="C423" s="1"/>
      <c r="D423" s="1"/>
      <c r="E423" s="1"/>
      <c r="F423" s="1"/>
      <c r="G423" s="445"/>
      <c r="H423" s="1"/>
      <c r="I423" s="446"/>
      <c r="J423" s="1"/>
      <c r="K423" s="1"/>
      <c r="L423" s="1"/>
      <c r="M423" s="431"/>
      <c r="N423" s="1"/>
      <c r="O423" s="1"/>
      <c r="Q423" s="1"/>
      <c r="W423" s="310"/>
      <c r="X423" s="310"/>
      <c r="Y423" s="310"/>
    </row>
    <row r="424" spans="1:25" ht="18.75" customHeight="1" x14ac:dyDescent="0.2">
      <c r="A424" s="444"/>
      <c r="B424" s="1"/>
      <c r="C424" s="1"/>
      <c r="D424" s="1"/>
      <c r="E424" s="1"/>
      <c r="F424" s="1"/>
      <c r="G424" s="445"/>
      <c r="H424" s="1"/>
      <c r="I424" s="446"/>
      <c r="J424" s="1"/>
      <c r="K424" s="1"/>
      <c r="L424" s="1"/>
      <c r="M424" s="431"/>
      <c r="N424" s="1"/>
      <c r="O424" s="1"/>
      <c r="Q424" s="1"/>
      <c r="W424" s="310"/>
      <c r="X424" s="310"/>
      <c r="Y424" s="310"/>
    </row>
    <row r="425" spans="1:25" ht="18.75" customHeight="1" x14ac:dyDescent="0.2">
      <c r="A425" s="444"/>
      <c r="B425" s="1"/>
      <c r="C425" s="1"/>
      <c r="D425" s="1"/>
      <c r="E425" s="1"/>
      <c r="F425" s="1"/>
      <c r="G425" s="445"/>
      <c r="H425" s="1"/>
      <c r="I425" s="446"/>
      <c r="J425" s="1"/>
      <c r="K425" s="1"/>
      <c r="L425" s="1"/>
      <c r="M425" s="431"/>
      <c r="N425" s="1"/>
      <c r="O425" s="1"/>
      <c r="Q425" s="1"/>
      <c r="W425" s="310"/>
      <c r="X425" s="310"/>
      <c r="Y425" s="310"/>
    </row>
    <row r="426" spans="1:25" ht="18.75" customHeight="1" x14ac:dyDescent="0.2">
      <c r="A426" s="444"/>
      <c r="B426" s="1"/>
      <c r="C426" s="1"/>
      <c r="D426" s="1"/>
      <c r="E426" s="1"/>
      <c r="F426" s="1"/>
      <c r="G426" s="445"/>
      <c r="H426" s="1"/>
      <c r="I426" s="446"/>
      <c r="J426" s="1"/>
      <c r="K426" s="1"/>
      <c r="L426" s="1"/>
      <c r="M426" s="431"/>
      <c r="N426" s="1"/>
      <c r="O426" s="1"/>
      <c r="Q426" s="1"/>
      <c r="W426" s="310"/>
      <c r="X426" s="310"/>
      <c r="Y426" s="310"/>
    </row>
    <row r="427" spans="1:25" ht="18.75" customHeight="1" x14ac:dyDescent="0.2">
      <c r="A427" s="444"/>
      <c r="B427" s="1"/>
      <c r="C427" s="1"/>
      <c r="D427" s="1"/>
      <c r="E427" s="1"/>
      <c r="F427" s="1"/>
      <c r="G427" s="445"/>
      <c r="H427" s="1"/>
      <c r="I427" s="446"/>
      <c r="J427" s="1"/>
      <c r="K427" s="1"/>
      <c r="L427" s="1"/>
      <c r="M427" s="431"/>
      <c r="N427" s="1"/>
      <c r="O427" s="1"/>
      <c r="Q427" s="1"/>
      <c r="W427" s="310"/>
      <c r="X427" s="310"/>
      <c r="Y427" s="310"/>
    </row>
    <row r="428" spans="1:25" ht="18.75" customHeight="1" x14ac:dyDescent="0.2">
      <c r="A428" s="444"/>
      <c r="B428" s="1"/>
      <c r="C428" s="1"/>
      <c r="D428" s="1"/>
      <c r="E428" s="1"/>
      <c r="F428" s="1"/>
      <c r="G428" s="445"/>
      <c r="H428" s="1"/>
      <c r="I428" s="446"/>
      <c r="J428" s="1"/>
      <c r="K428" s="1"/>
      <c r="L428" s="1"/>
      <c r="M428" s="431"/>
      <c r="N428" s="1"/>
      <c r="O428" s="1"/>
      <c r="Q428" s="1"/>
      <c r="W428" s="310"/>
      <c r="X428" s="310"/>
      <c r="Y428" s="310"/>
    </row>
    <row r="429" spans="1:25" ht="18.75" customHeight="1" x14ac:dyDescent="0.2">
      <c r="A429" s="444"/>
      <c r="B429" s="1"/>
      <c r="C429" s="1"/>
      <c r="D429" s="1"/>
      <c r="E429" s="1"/>
      <c r="F429" s="1"/>
      <c r="G429" s="445"/>
      <c r="H429" s="1"/>
      <c r="I429" s="446"/>
      <c r="J429" s="1"/>
      <c r="K429" s="1"/>
      <c r="L429" s="1"/>
      <c r="M429" s="431"/>
      <c r="N429" s="1"/>
      <c r="O429" s="1"/>
      <c r="Q429" s="1"/>
      <c r="W429" s="310"/>
      <c r="X429" s="310"/>
      <c r="Y429" s="310"/>
    </row>
    <row r="430" spans="1:25" ht="18.75" customHeight="1" x14ac:dyDescent="0.2">
      <c r="A430" s="444"/>
      <c r="B430" s="1"/>
      <c r="C430" s="1"/>
      <c r="D430" s="1"/>
      <c r="E430" s="1"/>
      <c r="F430" s="1"/>
      <c r="G430" s="445"/>
      <c r="H430" s="1"/>
      <c r="I430" s="446"/>
      <c r="J430" s="1"/>
      <c r="K430" s="1"/>
      <c r="L430" s="1"/>
      <c r="M430" s="431"/>
      <c r="N430" s="1"/>
      <c r="O430" s="1"/>
      <c r="Q430" s="1"/>
      <c r="W430" s="310"/>
      <c r="X430" s="310"/>
      <c r="Y430" s="310"/>
    </row>
    <row r="431" spans="1:25" ht="18.75" customHeight="1" x14ac:dyDescent="0.2">
      <c r="A431" s="444"/>
      <c r="B431" s="1"/>
      <c r="C431" s="1"/>
      <c r="D431" s="1"/>
      <c r="E431" s="1"/>
      <c r="F431" s="1"/>
      <c r="G431" s="445"/>
      <c r="H431" s="1"/>
      <c r="I431" s="446"/>
      <c r="J431" s="1"/>
      <c r="K431" s="1"/>
      <c r="L431" s="1"/>
      <c r="M431" s="431"/>
      <c r="N431" s="1"/>
      <c r="O431" s="1"/>
      <c r="Q431" s="1"/>
      <c r="W431" s="310"/>
      <c r="X431" s="310"/>
      <c r="Y431" s="310"/>
    </row>
    <row r="432" spans="1:25" ht="18.75" customHeight="1" x14ac:dyDescent="0.2">
      <c r="A432" s="444"/>
      <c r="B432" s="1"/>
      <c r="C432" s="1"/>
      <c r="D432" s="1"/>
      <c r="E432" s="1"/>
      <c r="F432" s="1"/>
      <c r="G432" s="445"/>
      <c r="H432" s="1"/>
      <c r="I432" s="446"/>
      <c r="J432" s="1"/>
      <c r="K432" s="1"/>
      <c r="L432" s="1"/>
      <c r="M432" s="431"/>
      <c r="N432" s="1"/>
      <c r="O432" s="1"/>
      <c r="Q432" s="1"/>
      <c r="W432" s="310"/>
      <c r="X432" s="310"/>
      <c r="Y432" s="310"/>
    </row>
    <row r="433" spans="1:25" ht="18.75" customHeight="1" x14ac:dyDescent="0.2">
      <c r="A433" s="444"/>
      <c r="B433" s="1"/>
      <c r="C433" s="1"/>
      <c r="D433" s="1"/>
      <c r="E433" s="1"/>
      <c r="F433" s="1"/>
      <c r="G433" s="445"/>
      <c r="H433" s="1"/>
      <c r="I433" s="446"/>
      <c r="J433" s="1"/>
      <c r="K433" s="1"/>
      <c r="L433" s="1"/>
      <c r="M433" s="431"/>
      <c r="N433" s="1"/>
      <c r="O433" s="1"/>
      <c r="Q433" s="1"/>
      <c r="W433" s="310"/>
      <c r="X433" s="310"/>
      <c r="Y433" s="310"/>
    </row>
    <row r="434" spans="1:25" ht="18.75" customHeight="1" x14ac:dyDescent="0.2">
      <c r="A434" s="444"/>
      <c r="B434" s="1"/>
      <c r="C434" s="1"/>
      <c r="D434" s="1"/>
      <c r="E434" s="1"/>
      <c r="F434" s="1"/>
      <c r="G434" s="445"/>
      <c r="H434" s="1"/>
      <c r="I434" s="446"/>
      <c r="J434" s="1"/>
      <c r="K434" s="1"/>
      <c r="L434" s="1"/>
      <c r="M434" s="431"/>
      <c r="N434" s="1"/>
      <c r="O434" s="1"/>
      <c r="Q434" s="1"/>
      <c r="W434" s="310"/>
      <c r="X434" s="310"/>
      <c r="Y434" s="310"/>
    </row>
    <row r="435" spans="1:25" ht="18.75" customHeight="1" x14ac:dyDescent="0.2">
      <c r="A435" s="444"/>
      <c r="B435" s="1"/>
      <c r="C435" s="1"/>
      <c r="D435" s="1"/>
      <c r="E435" s="1"/>
      <c r="F435" s="1"/>
      <c r="G435" s="445"/>
      <c r="H435" s="1"/>
      <c r="I435" s="446"/>
      <c r="J435" s="1"/>
      <c r="K435" s="1"/>
      <c r="L435" s="1"/>
      <c r="M435" s="431"/>
      <c r="N435" s="1"/>
      <c r="O435" s="1"/>
      <c r="Q435" s="1"/>
      <c r="W435" s="310"/>
      <c r="X435" s="310"/>
      <c r="Y435" s="310"/>
    </row>
    <row r="436" spans="1:25" ht="18.75" customHeight="1" x14ac:dyDescent="0.2">
      <c r="A436" s="444"/>
      <c r="B436" s="1"/>
      <c r="C436" s="1"/>
      <c r="D436" s="1"/>
      <c r="E436" s="1"/>
      <c r="F436" s="1"/>
      <c r="G436" s="445"/>
      <c r="H436" s="1"/>
      <c r="I436" s="446"/>
      <c r="J436" s="1"/>
      <c r="K436" s="1"/>
      <c r="L436" s="1"/>
      <c r="M436" s="431"/>
      <c r="N436" s="1"/>
      <c r="O436" s="1"/>
      <c r="Q436" s="1"/>
      <c r="W436" s="310"/>
      <c r="X436" s="310"/>
      <c r="Y436" s="310"/>
    </row>
    <row r="437" spans="1:25" ht="18.75" customHeight="1" x14ac:dyDescent="0.2">
      <c r="A437" s="444"/>
      <c r="B437" s="1"/>
      <c r="C437" s="1"/>
      <c r="D437" s="1"/>
      <c r="E437" s="1"/>
      <c r="F437" s="1"/>
      <c r="G437" s="445"/>
      <c r="H437" s="1"/>
      <c r="I437" s="446"/>
      <c r="J437" s="1"/>
      <c r="K437" s="1"/>
      <c r="L437" s="1"/>
      <c r="M437" s="431"/>
      <c r="N437" s="1"/>
      <c r="O437" s="1"/>
      <c r="Q437" s="1"/>
      <c r="W437" s="310"/>
      <c r="X437" s="310"/>
      <c r="Y437" s="310"/>
    </row>
    <row r="438" spans="1:25" ht="18.75" customHeight="1" x14ac:dyDescent="0.2">
      <c r="A438" s="444"/>
      <c r="B438" s="1"/>
      <c r="C438" s="1"/>
      <c r="D438" s="1"/>
      <c r="E438" s="1"/>
      <c r="F438" s="1"/>
      <c r="G438" s="445"/>
      <c r="H438" s="1"/>
      <c r="I438" s="446"/>
      <c r="J438" s="1"/>
      <c r="K438" s="1"/>
      <c r="L438" s="1"/>
      <c r="M438" s="431"/>
      <c r="N438" s="1"/>
      <c r="O438" s="1"/>
      <c r="Q438" s="1"/>
      <c r="W438" s="310"/>
      <c r="X438" s="310"/>
      <c r="Y438" s="310"/>
    </row>
    <row r="439" spans="1:25" ht="18.75" customHeight="1" x14ac:dyDescent="0.2">
      <c r="A439" s="444"/>
      <c r="B439" s="1"/>
      <c r="C439" s="1"/>
      <c r="D439" s="1"/>
      <c r="E439" s="1"/>
      <c r="F439" s="1"/>
      <c r="G439" s="445"/>
      <c r="H439" s="1"/>
      <c r="I439" s="446"/>
      <c r="J439" s="1"/>
      <c r="K439" s="1"/>
      <c r="L439" s="1"/>
      <c r="M439" s="431"/>
      <c r="N439" s="1"/>
      <c r="O439" s="1"/>
      <c r="Q439" s="1"/>
      <c r="W439" s="310"/>
      <c r="X439" s="310"/>
      <c r="Y439" s="310"/>
    </row>
    <row r="440" spans="1:25" ht="18.75" customHeight="1" x14ac:dyDescent="0.2">
      <c r="A440" s="444"/>
      <c r="B440" s="1"/>
      <c r="C440" s="1"/>
      <c r="D440" s="1"/>
      <c r="E440" s="1"/>
      <c r="F440" s="1"/>
      <c r="G440" s="445"/>
      <c r="H440" s="1"/>
      <c r="I440" s="446"/>
      <c r="J440" s="1"/>
      <c r="K440" s="1"/>
      <c r="L440" s="1"/>
      <c r="M440" s="431"/>
      <c r="N440" s="1"/>
      <c r="O440" s="1"/>
      <c r="Q440" s="1"/>
      <c r="W440" s="310"/>
      <c r="X440" s="310"/>
      <c r="Y440" s="310"/>
    </row>
    <row r="441" spans="1:25" ht="18.75" customHeight="1" x14ac:dyDescent="0.2">
      <c r="A441" s="444"/>
      <c r="B441" s="1"/>
      <c r="C441" s="1"/>
      <c r="D441" s="1"/>
      <c r="E441" s="1"/>
      <c r="F441" s="1"/>
      <c r="G441" s="445"/>
      <c r="H441" s="1"/>
      <c r="I441" s="446"/>
      <c r="J441" s="1"/>
      <c r="K441" s="1"/>
      <c r="L441" s="1"/>
      <c r="M441" s="431"/>
      <c r="N441" s="1"/>
      <c r="O441" s="1"/>
      <c r="Q441" s="1"/>
      <c r="W441" s="310"/>
      <c r="X441" s="310"/>
      <c r="Y441" s="310"/>
    </row>
    <row r="442" spans="1:25" ht="18.75" customHeight="1" x14ac:dyDescent="0.2">
      <c r="A442" s="444"/>
      <c r="B442" s="1"/>
      <c r="C442" s="1"/>
      <c r="D442" s="1"/>
      <c r="E442" s="1"/>
      <c r="F442" s="1"/>
      <c r="G442" s="445"/>
      <c r="H442" s="1"/>
      <c r="I442" s="446"/>
      <c r="J442" s="1"/>
      <c r="K442" s="1"/>
      <c r="L442" s="1"/>
      <c r="M442" s="431"/>
      <c r="N442" s="1"/>
      <c r="O442" s="1"/>
      <c r="Q442" s="1"/>
      <c r="W442" s="310"/>
      <c r="X442" s="310"/>
      <c r="Y442" s="310"/>
    </row>
    <row r="443" spans="1:25" ht="18.75" customHeight="1" x14ac:dyDescent="0.2">
      <c r="A443" s="444"/>
      <c r="B443" s="1"/>
      <c r="C443" s="1"/>
      <c r="D443" s="1"/>
      <c r="E443" s="1"/>
      <c r="F443" s="1"/>
      <c r="G443" s="445"/>
      <c r="H443" s="1"/>
      <c r="I443" s="446"/>
      <c r="J443" s="1"/>
      <c r="K443" s="1"/>
      <c r="L443" s="1"/>
      <c r="M443" s="431"/>
      <c r="N443" s="1"/>
      <c r="O443" s="1"/>
      <c r="Q443" s="1"/>
      <c r="W443" s="310"/>
      <c r="X443" s="310"/>
      <c r="Y443" s="310"/>
    </row>
    <row r="444" spans="1:25" ht="18.75" customHeight="1" x14ac:dyDescent="0.2">
      <c r="A444" s="444"/>
      <c r="B444" s="1"/>
      <c r="C444" s="1"/>
      <c r="D444" s="1"/>
      <c r="E444" s="1"/>
      <c r="F444" s="1"/>
      <c r="G444" s="445"/>
      <c r="H444" s="1"/>
      <c r="I444" s="446"/>
      <c r="J444" s="1"/>
      <c r="K444" s="1"/>
      <c r="L444" s="1"/>
      <c r="M444" s="431"/>
      <c r="N444" s="1"/>
      <c r="O444" s="1"/>
      <c r="Q444" s="1"/>
      <c r="W444" s="310"/>
      <c r="X444" s="310"/>
      <c r="Y444" s="310"/>
    </row>
    <row r="445" spans="1:25" ht="18.75" customHeight="1" x14ac:dyDescent="0.2">
      <c r="A445" s="444"/>
      <c r="B445" s="1"/>
      <c r="C445" s="1"/>
      <c r="D445" s="1"/>
      <c r="E445" s="1"/>
      <c r="F445" s="1"/>
      <c r="G445" s="445"/>
      <c r="H445" s="1"/>
      <c r="I445" s="446"/>
      <c r="J445" s="1"/>
      <c r="K445" s="1"/>
      <c r="L445" s="1"/>
      <c r="M445" s="431"/>
      <c r="N445" s="1"/>
      <c r="O445" s="1"/>
      <c r="Q445" s="1"/>
      <c r="W445" s="310"/>
      <c r="X445" s="310"/>
      <c r="Y445" s="310"/>
    </row>
    <row r="446" spans="1:25" ht="18.75" customHeight="1" x14ac:dyDescent="0.2">
      <c r="A446" s="444"/>
      <c r="B446" s="1"/>
      <c r="C446" s="1"/>
      <c r="D446" s="1"/>
      <c r="E446" s="1"/>
      <c r="F446" s="1"/>
      <c r="G446" s="445"/>
      <c r="H446" s="1"/>
      <c r="I446" s="446"/>
      <c r="J446" s="1"/>
      <c r="K446" s="1"/>
      <c r="L446" s="1"/>
      <c r="M446" s="431"/>
      <c r="N446" s="1"/>
      <c r="O446" s="1"/>
      <c r="Q446" s="1"/>
      <c r="W446" s="310"/>
      <c r="X446" s="310"/>
      <c r="Y446" s="310"/>
    </row>
    <row r="447" spans="1:25" ht="18.75" customHeight="1" x14ac:dyDescent="0.2">
      <c r="A447" s="444"/>
      <c r="B447" s="1"/>
      <c r="C447" s="1"/>
      <c r="D447" s="1"/>
      <c r="E447" s="1"/>
      <c r="F447" s="1"/>
      <c r="G447" s="445"/>
      <c r="H447" s="1"/>
      <c r="I447" s="446"/>
      <c r="J447" s="1"/>
      <c r="K447" s="1"/>
      <c r="L447" s="1"/>
      <c r="M447" s="431"/>
      <c r="N447" s="1"/>
      <c r="O447" s="1"/>
      <c r="Q447" s="1"/>
      <c r="W447" s="310"/>
      <c r="X447" s="310"/>
      <c r="Y447" s="310"/>
    </row>
    <row r="448" spans="1:25" ht="18.75" customHeight="1" x14ac:dyDescent="0.2">
      <c r="A448" s="444"/>
      <c r="B448" s="1"/>
      <c r="C448" s="1"/>
      <c r="D448" s="1"/>
      <c r="E448" s="1"/>
      <c r="F448" s="1"/>
      <c r="G448" s="445"/>
      <c r="H448" s="1"/>
      <c r="I448" s="446"/>
      <c r="J448" s="1"/>
      <c r="K448" s="1"/>
      <c r="L448" s="1"/>
      <c r="M448" s="431"/>
      <c r="N448" s="1"/>
      <c r="O448" s="1"/>
      <c r="Q448" s="1"/>
      <c r="W448" s="310"/>
      <c r="X448" s="310"/>
      <c r="Y448" s="310"/>
    </row>
    <row r="449" spans="1:25" ht="18.75" customHeight="1" x14ac:dyDescent="0.2">
      <c r="A449" s="444"/>
      <c r="B449" s="1"/>
      <c r="C449" s="1"/>
      <c r="D449" s="1"/>
      <c r="E449" s="1"/>
      <c r="F449" s="1"/>
      <c r="G449" s="445"/>
      <c r="H449" s="1"/>
      <c r="I449" s="446"/>
      <c r="J449" s="1"/>
      <c r="K449" s="1"/>
      <c r="L449" s="1"/>
      <c r="M449" s="431"/>
      <c r="N449" s="1"/>
      <c r="O449" s="1"/>
      <c r="Q449" s="1"/>
      <c r="W449" s="310"/>
      <c r="X449" s="310"/>
      <c r="Y449" s="310"/>
    </row>
    <row r="450" spans="1:25" ht="18.75" customHeight="1" x14ac:dyDescent="0.2">
      <c r="A450" s="444"/>
      <c r="B450" s="1"/>
      <c r="C450" s="1"/>
      <c r="D450" s="1"/>
      <c r="E450" s="1"/>
      <c r="F450" s="1"/>
      <c r="G450" s="445"/>
      <c r="H450" s="1"/>
      <c r="I450" s="446"/>
      <c r="J450" s="1"/>
      <c r="K450" s="1"/>
      <c r="L450" s="1"/>
      <c r="M450" s="431"/>
      <c r="N450" s="1"/>
      <c r="O450" s="1"/>
      <c r="Q450" s="1"/>
      <c r="W450" s="310"/>
      <c r="X450" s="310"/>
      <c r="Y450" s="310"/>
    </row>
    <row r="451" spans="1:25" ht="18.75" customHeight="1" x14ac:dyDescent="0.2">
      <c r="A451" s="444"/>
      <c r="B451" s="1"/>
      <c r="C451" s="1"/>
      <c r="D451" s="1"/>
      <c r="E451" s="1"/>
      <c r="F451" s="1"/>
      <c r="G451" s="445"/>
      <c r="H451" s="1"/>
      <c r="I451" s="446"/>
      <c r="J451" s="1"/>
      <c r="K451" s="1"/>
      <c r="L451" s="1"/>
      <c r="M451" s="431"/>
      <c r="N451" s="1"/>
      <c r="O451" s="1"/>
      <c r="Q451" s="1"/>
      <c r="W451" s="310"/>
      <c r="X451" s="310"/>
      <c r="Y451" s="310"/>
    </row>
    <row r="452" spans="1:25" ht="18.75" customHeight="1" x14ac:dyDescent="0.2">
      <c r="A452" s="444"/>
      <c r="B452" s="1"/>
      <c r="C452" s="1"/>
      <c r="D452" s="1"/>
      <c r="E452" s="1"/>
      <c r="F452" s="1"/>
      <c r="G452" s="445"/>
      <c r="H452" s="1"/>
      <c r="I452" s="446"/>
      <c r="J452" s="1"/>
      <c r="K452" s="1"/>
      <c r="L452" s="1"/>
      <c r="M452" s="431"/>
      <c r="N452" s="1"/>
      <c r="O452" s="1"/>
      <c r="Q452" s="1"/>
      <c r="W452" s="310"/>
      <c r="X452" s="310"/>
      <c r="Y452" s="310"/>
    </row>
    <row r="453" spans="1:25" ht="18.75" customHeight="1" x14ac:dyDescent="0.2">
      <c r="A453" s="444"/>
      <c r="B453" s="1"/>
      <c r="C453" s="1"/>
      <c r="D453" s="1"/>
      <c r="E453" s="1"/>
      <c r="F453" s="1"/>
      <c r="G453" s="445"/>
      <c r="H453" s="1"/>
      <c r="I453" s="446"/>
      <c r="J453" s="1"/>
      <c r="K453" s="1"/>
      <c r="L453" s="1"/>
      <c r="M453" s="431"/>
      <c r="N453" s="1"/>
      <c r="O453" s="1"/>
      <c r="Q453" s="1"/>
      <c r="W453" s="310"/>
      <c r="X453" s="310"/>
      <c r="Y453" s="310"/>
    </row>
    <row r="454" spans="1:25" ht="18.75" customHeight="1" x14ac:dyDescent="0.2">
      <c r="A454" s="444"/>
      <c r="B454" s="1"/>
      <c r="C454" s="1"/>
      <c r="D454" s="1"/>
      <c r="E454" s="1"/>
      <c r="F454" s="1"/>
      <c r="G454" s="445"/>
      <c r="H454" s="1"/>
      <c r="I454" s="446"/>
      <c r="J454" s="1"/>
      <c r="K454" s="1"/>
      <c r="L454" s="1"/>
      <c r="M454" s="431"/>
      <c r="N454" s="1"/>
      <c r="O454" s="1"/>
      <c r="Q454" s="1"/>
      <c r="W454" s="310"/>
      <c r="X454" s="310"/>
      <c r="Y454" s="310"/>
    </row>
    <row r="455" spans="1:25" ht="18.75" customHeight="1" x14ac:dyDescent="0.2">
      <c r="A455" s="444"/>
      <c r="B455" s="1"/>
      <c r="C455" s="1"/>
      <c r="D455" s="1"/>
      <c r="E455" s="1"/>
      <c r="F455" s="1"/>
      <c r="G455" s="445"/>
      <c r="H455" s="1"/>
      <c r="I455" s="446"/>
      <c r="J455" s="1"/>
      <c r="K455" s="1"/>
      <c r="L455" s="1"/>
      <c r="M455" s="431"/>
      <c r="N455" s="1"/>
      <c r="O455" s="1"/>
      <c r="Q455" s="1"/>
      <c r="W455" s="310"/>
      <c r="X455" s="310"/>
      <c r="Y455" s="310"/>
    </row>
    <row r="456" spans="1:25" ht="18.75" customHeight="1" x14ac:dyDescent="0.2">
      <c r="A456" s="444"/>
      <c r="B456" s="1"/>
      <c r="C456" s="1"/>
      <c r="D456" s="1"/>
      <c r="E456" s="1"/>
      <c r="F456" s="1"/>
      <c r="G456" s="445"/>
      <c r="H456" s="1"/>
      <c r="I456" s="446"/>
      <c r="J456" s="1"/>
      <c r="K456" s="1"/>
      <c r="L456" s="1"/>
      <c r="M456" s="431"/>
      <c r="N456" s="1"/>
      <c r="O456" s="1"/>
      <c r="Q456" s="1"/>
      <c r="W456" s="310"/>
      <c r="X456" s="310"/>
      <c r="Y456" s="310"/>
    </row>
    <row r="457" spans="1:25" ht="18.75" customHeight="1" x14ac:dyDescent="0.2">
      <c r="A457" s="444"/>
      <c r="B457" s="1"/>
      <c r="C457" s="1"/>
      <c r="D457" s="1"/>
      <c r="E457" s="1"/>
      <c r="F457" s="1"/>
      <c r="G457" s="445"/>
      <c r="H457" s="1"/>
      <c r="I457" s="446"/>
      <c r="J457" s="1"/>
      <c r="K457" s="1"/>
      <c r="L457" s="1"/>
      <c r="M457" s="431"/>
      <c r="N457" s="1"/>
      <c r="O457" s="1"/>
      <c r="Q457" s="1"/>
      <c r="W457" s="310"/>
      <c r="X457" s="310"/>
      <c r="Y457" s="310"/>
    </row>
    <row r="458" spans="1:25" ht="18.75" customHeight="1" x14ac:dyDescent="0.2">
      <c r="A458" s="444"/>
      <c r="B458" s="1"/>
      <c r="C458" s="1"/>
      <c r="D458" s="1"/>
      <c r="E458" s="1"/>
      <c r="F458" s="1"/>
      <c r="G458" s="445"/>
      <c r="H458" s="1"/>
      <c r="I458" s="446"/>
      <c r="J458" s="1"/>
      <c r="K458" s="1"/>
      <c r="L458" s="1"/>
      <c r="M458" s="431"/>
      <c r="N458" s="1"/>
      <c r="O458" s="1"/>
      <c r="Q458" s="1"/>
      <c r="W458" s="310"/>
      <c r="X458" s="310"/>
      <c r="Y458" s="310"/>
    </row>
    <row r="459" spans="1:25" ht="18.75" customHeight="1" x14ac:dyDescent="0.2">
      <c r="A459" s="444"/>
      <c r="B459" s="1"/>
      <c r="C459" s="1"/>
      <c r="D459" s="1"/>
      <c r="E459" s="1"/>
      <c r="F459" s="1"/>
      <c r="G459" s="445"/>
      <c r="H459" s="1"/>
      <c r="I459" s="446"/>
      <c r="J459" s="1"/>
      <c r="K459" s="1"/>
      <c r="L459" s="1"/>
      <c r="M459" s="431"/>
      <c r="N459" s="1"/>
      <c r="O459" s="1"/>
      <c r="Q459" s="1"/>
      <c r="W459" s="310"/>
      <c r="X459" s="310"/>
      <c r="Y459" s="310"/>
    </row>
    <row r="460" spans="1:25" ht="18.75" customHeight="1" x14ac:dyDescent="0.2">
      <c r="A460" s="444"/>
      <c r="B460" s="1"/>
      <c r="C460" s="1"/>
      <c r="D460" s="1"/>
      <c r="E460" s="1"/>
      <c r="F460" s="1"/>
      <c r="G460" s="445"/>
      <c r="H460" s="1"/>
      <c r="I460" s="446"/>
      <c r="J460" s="1"/>
      <c r="K460" s="1"/>
      <c r="L460" s="1"/>
      <c r="M460" s="431"/>
      <c r="N460" s="1"/>
      <c r="O460" s="1"/>
      <c r="Q460" s="1"/>
      <c r="W460" s="310"/>
      <c r="X460" s="310"/>
      <c r="Y460" s="310"/>
    </row>
    <row r="461" spans="1:25" ht="18.75" customHeight="1" x14ac:dyDescent="0.2">
      <c r="A461" s="444"/>
      <c r="B461" s="1"/>
      <c r="C461" s="1"/>
      <c r="D461" s="1"/>
      <c r="E461" s="1"/>
      <c r="F461" s="1"/>
      <c r="G461" s="445"/>
      <c r="H461" s="1"/>
      <c r="I461" s="446"/>
      <c r="J461" s="1"/>
      <c r="K461" s="1"/>
      <c r="L461" s="1"/>
      <c r="M461" s="431"/>
      <c r="N461" s="1"/>
      <c r="O461" s="1"/>
      <c r="Q461" s="1"/>
      <c r="W461" s="310"/>
      <c r="X461" s="310"/>
      <c r="Y461" s="310"/>
    </row>
    <row r="462" spans="1:25" ht="18.75" customHeight="1" x14ac:dyDescent="0.2">
      <c r="A462" s="444"/>
      <c r="B462" s="1"/>
      <c r="C462" s="1"/>
      <c r="D462" s="1"/>
      <c r="E462" s="1"/>
      <c r="F462" s="1"/>
      <c r="G462" s="445"/>
      <c r="H462" s="1"/>
      <c r="I462" s="446"/>
      <c r="J462" s="1"/>
      <c r="K462" s="1"/>
      <c r="L462" s="1"/>
      <c r="M462" s="431"/>
      <c r="N462" s="1"/>
      <c r="O462" s="1"/>
      <c r="Q462" s="1"/>
      <c r="W462" s="310"/>
      <c r="X462" s="310"/>
      <c r="Y462" s="310"/>
    </row>
    <row r="463" spans="1:25" ht="18.75" customHeight="1" x14ac:dyDescent="0.2">
      <c r="A463" s="444"/>
      <c r="B463" s="1"/>
      <c r="C463" s="1"/>
      <c r="D463" s="1"/>
      <c r="E463" s="1"/>
      <c r="F463" s="1"/>
      <c r="G463" s="445"/>
      <c r="H463" s="1"/>
      <c r="I463" s="446"/>
      <c r="J463" s="1"/>
      <c r="K463" s="1"/>
      <c r="L463" s="1"/>
      <c r="M463" s="431"/>
      <c r="N463" s="1"/>
      <c r="O463" s="1"/>
      <c r="Q463" s="1"/>
      <c r="W463" s="310"/>
      <c r="X463" s="310"/>
      <c r="Y463" s="310"/>
    </row>
    <row r="464" spans="1:25" ht="18.75" customHeight="1" x14ac:dyDescent="0.2">
      <c r="A464" s="444"/>
      <c r="B464" s="1"/>
      <c r="C464" s="1"/>
      <c r="D464" s="1"/>
      <c r="E464" s="1"/>
      <c r="F464" s="1"/>
      <c r="G464" s="445"/>
      <c r="H464" s="1"/>
      <c r="I464" s="446"/>
      <c r="J464" s="1"/>
      <c r="K464" s="1"/>
      <c r="L464" s="1"/>
      <c r="M464" s="431"/>
      <c r="N464" s="1"/>
      <c r="O464" s="1"/>
      <c r="Q464" s="1"/>
      <c r="W464" s="310"/>
      <c r="X464" s="310"/>
      <c r="Y464" s="310"/>
    </row>
    <row r="465" spans="1:25" ht="18.75" customHeight="1" x14ac:dyDescent="0.2">
      <c r="A465" s="444"/>
      <c r="B465" s="1"/>
      <c r="C465" s="1"/>
      <c r="D465" s="1"/>
      <c r="E465" s="1"/>
      <c r="F465" s="1"/>
      <c r="G465" s="445"/>
      <c r="H465" s="1"/>
      <c r="I465" s="446"/>
      <c r="J465" s="1"/>
      <c r="K465" s="1"/>
      <c r="L465" s="1"/>
      <c r="M465" s="431"/>
      <c r="N465" s="1"/>
      <c r="O465" s="1"/>
      <c r="Q465" s="1"/>
      <c r="W465" s="310"/>
      <c r="X465" s="310"/>
      <c r="Y465" s="310"/>
    </row>
    <row r="466" spans="1:25" ht="18.75" customHeight="1" x14ac:dyDescent="0.2">
      <c r="A466" s="444"/>
      <c r="B466" s="1"/>
      <c r="C466" s="1"/>
      <c r="D466" s="1"/>
      <c r="E466" s="1"/>
      <c r="F466" s="1"/>
      <c r="G466" s="445"/>
      <c r="H466" s="1"/>
      <c r="I466" s="446"/>
      <c r="J466" s="1"/>
      <c r="K466" s="1"/>
      <c r="L466" s="1"/>
      <c r="M466" s="431"/>
      <c r="N466" s="1"/>
      <c r="O466" s="1"/>
      <c r="Q466" s="1"/>
      <c r="W466" s="310"/>
      <c r="X466" s="310"/>
      <c r="Y466" s="310"/>
    </row>
    <row r="467" spans="1:25" ht="18.75" customHeight="1" x14ac:dyDescent="0.2">
      <c r="A467" s="444"/>
      <c r="B467" s="1"/>
      <c r="C467" s="1"/>
      <c r="D467" s="1"/>
      <c r="E467" s="1"/>
      <c r="F467" s="1"/>
      <c r="G467" s="445"/>
      <c r="H467" s="1"/>
      <c r="I467" s="446"/>
      <c r="J467" s="1"/>
      <c r="K467" s="1"/>
      <c r="L467" s="1"/>
      <c r="M467" s="431"/>
      <c r="N467" s="1"/>
      <c r="O467" s="1"/>
      <c r="Q467" s="1"/>
      <c r="W467" s="310"/>
      <c r="X467" s="310"/>
      <c r="Y467" s="310"/>
    </row>
    <row r="468" spans="1:25" ht="18.75" customHeight="1" x14ac:dyDescent="0.2">
      <c r="A468" s="444"/>
      <c r="B468" s="1"/>
      <c r="C468" s="1"/>
      <c r="D468" s="1"/>
      <c r="E468" s="1"/>
      <c r="F468" s="1"/>
      <c r="G468" s="445"/>
      <c r="H468" s="1"/>
      <c r="I468" s="446"/>
      <c r="J468" s="1"/>
      <c r="K468" s="1"/>
      <c r="L468" s="1"/>
      <c r="M468" s="431"/>
      <c r="N468" s="1"/>
      <c r="O468" s="1"/>
      <c r="Q468" s="1"/>
      <c r="W468" s="310"/>
      <c r="X468" s="310"/>
      <c r="Y468" s="310"/>
    </row>
    <row r="469" spans="1:25" ht="18.75" customHeight="1" x14ac:dyDescent="0.2">
      <c r="A469" s="444"/>
      <c r="B469" s="1"/>
      <c r="C469" s="1"/>
      <c r="D469" s="1"/>
      <c r="E469" s="1"/>
      <c r="F469" s="1"/>
      <c r="G469" s="445"/>
      <c r="H469" s="1"/>
      <c r="I469" s="446"/>
      <c r="J469" s="1"/>
      <c r="K469" s="1"/>
      <c r="L469" s="1"/>
      <c r="M469" s="431"/>
      <c r="N469" s="1"/>
      <c r="O469" s="1"/>
      <c r="Q469" s="1"/>
      <c r="W469" s="310"/>
      <c r="X469" s="310"/>
      <c r="Y469" s="310"/>
    </row>
    <row r="470" spans="1:25" ht="18.75" customHeight="1" x14ac:dyDescent="0.2">
      <c r="A470" s="444"/>
      <c r="B470" s="1"/>
      <c r="C470" s="1"/>
      <c r="D470" s="1"/>
      <c r="E470" s="1"/>
      <c r="F470" s="1"/>
      <c r="G470" s="445"/>
      <c r="H470" s="1"/>
      <c r="I470" s="446"/>
      <c r="J470" s="1"/>
      <c r="K470" s="1"/>
      <c r="L470" s="1"/>
      <c r="M470" s="431"/>
      <c r="N470" s="1"/>
      <c r="O470" s="1"/>
      <c r="Q470" s="1"/>
      <c r="W470" s="310"/>
      <c r="X470" s="310"/>
      <c r="Y470" s="310"/>
    </row>
    <row r="471" spans="1:25" ht="18.75" customHeight="1" x14ac:dyDescent="0.2">
      <c r="A471" s="444"/>
      <c r="B471" s="1"/>
      <c r="C471" s="1"/>
      <c r="D471" s="1"/>
      <c r="E471" s="1"/>
      <c r="F471" s="1"/>
      <c r="G471" s="445"/>
      <c r="H471" s="1"/>
      <c r="I471" s="446"/>
      <c r="J471" s="1"/>
      <c r="K471" s="1"/>
      <c r="L471" s="1"/>
      <c r="M471" s="431"/>
      <c r="N471" s="1"/>
      <c r="O471" s="1"/>
      <c r="Q471" s="1"/>
      <c r="W471" s="310"/>
      <c r="X471" s="310"/>
      <c r="Y471" s="310"/>
    </row>
    <row r="472" spans="1:25" ht="18.75" customHeight="1" x14ac:dyDescent="0.2">
      <c r="A472" s="444"/>
      <c r="B472" s="1"/>
      <c r="C472" s="1"/>
      <c r="D472" s="1"/>
      <c r="E472" s="1"/>
      <c r="F472" s="1"/>
      <c r="G472" s="445"/>
      <c r="H472" s="1"/>
      <c r="I472" s="446"/>
      <c r="J472" s="1"/>
      <c r="K472" s="1"/>
      <c r="L472" s="1"/>
      <c r="M472" s="431"/>
      <c r="N472" s="1"/>
      <c r="O472" s="1"/>
      <c r="Q472" s="1"/>
      <c r="W472" s="310"/>
      <c r="X472" s="310"/>
      <c r="Y472" s="310"/>
    </row>
    <row r="473" spans="1:25" ht="18.75" customHeight="1" x14ac:dyDescent="0.2">
      <c r="A473" s="444"/>
      <c r="B473" s="1"/>
      <c r="C473" s="1"/>
      <c r="D473" s="1"/>
      <c r="E473" s="1"/>
      <c r="F473" s="1"/>
      <c r="G473" s="445"/>
      <c r="H473" s="1"/>
      <c r="I473" s="446"/>
      <c r="J473" s="1"/>
      <c r="K473" s="1"/>
      <c r="L473" s="1"/>
      <c r="M473" s="431"/>
      <c r="N473" s="1"/>
      <c r="O473" s="1"/>
      <c r="Q473" s="1"/>
      <c r="W473" s="310"/>
      <c r="X473" s="310"/>
      <c r="Y473" s="310"/>
    </row>
    <row r="474" spans="1:25" ht="18.75" customHeight="1" x14ac:dyDescent="0.2">
      <c r="A474" s="444"/>
      <c r="B474" s="1"/>
      <c r="C474" s="1"/>
      <c r="D474" s="1"/>
      <c r="E474" s="1"/>
      <c r="F474" s="1"/>
      <c r="G474" s="445"/>
      <c r="H474" s="1"/>
      <c r="I474" s="446"/>
      <c r="J474" s="1"/>
      <c r="K474" s="1"/>
      <c r="L474" s="1"/>
      <c r="M474" s="431"/>
      <c r="N474" s="1"/>
      <c r="O474" s="1"/>
      <c r="Q474" s="1"/>
      <c r="W474" s="310"/>
      <c r="X474" s="310"/>
      <c r="Y474" s="310"/>
    </row>
    <row r="475" spans="1:25" ht="18.75" customHeight="1" x14ac:dyDescent="0.2">
      <c r="A475" s="444"/>
      <c r="B475" s="1"/>
      <c r="C475" s="1"/>
      <c r="D475" s="1"/>
      <c r="E475" s="1"/>
      <c r="F475" s="1"/>
      <c r="G475" s="445"/>
      <c r="H475" s="1"/>
      <c r="I475" s="446"/>
      <c r="J475" s="1"/>
      <c r="K475" s="1"/>
      <c r="L475" s="1"/>
      <c r="M475" s="431"/>
      <c r="N475" s="1"/>
      <c r="O475" s="1"/>
      <c r="Q475" s="1"/>
      <c r="W475" s="310"/>
      <c r="X475" s="310"/>
      <c r="Y475" s="310"/>
    </row>
    <row r="476" spans="1:25" ht="18.75" customHeight="1" x14ac:dyDescent="0.2">
      <c r="A476" s="444"/>
      <c r="B476" s="1"/>
      <c r="C476" s="1"/>
      <c r="D476" s="1"/>
      <c r="E476" s="1"/>
      <c r="F476" s="1"/>
      <c r="G476" s="445"/>
      <c r="H476" s="1"/>
      <c r="I476" s="446"/>
      <c r="J476" s="1"/>
      <c r="K476" s="1"/>
      <c r="L476" s="1"/>
      <c r="M476" s="431"/>
      <c r="N476" s="1"/>
      <c r="O476" s="1"/>
      <c r="Q476" s="1"/>
      <c r="W476" s="310"/>
      <c r="X476" s="310"/>
      <c r="Y476" s="310"/>
    </row>
    <row r="477" spans="1:25" ht="18.75" customHeight="1" x14ac:dyDescent="0.2">
      <c r="A477" s="444"/>
      <c r="B477" s="1"/>
      <c r="C477" s="1"/>
      <c r="D477" s="1"/>
      <c r="E477" s="1"/>
      <c r="F477" s="1"/>
      <c r="G477" s="445"/>
      <c r="H477" s="1"/>
      <c r="I477" s="446"/>
      <c r="J477" s="1"/>
      <c r="K477" s="1"/>
      <c r="L477" s="1"/>
      <c r="M477" s="431"/>
      <c r="N477" s="1"/>
      <c r="O477" s="1"/>
      <c r="Q477" s="1"/>
      <c r="W477" s="310"/>
      <c r="X477" s="310"/>
      <c r="Y477" s="310"/>
    </row>
    <row r="478" spans="1:25" ht="18.75" customHeight="1" x14ac:dyDescent="0.2">
      <c r="A478" s="444"/>
      <c r="B478" s="1"/>
      <c r="C478" s="1"/>
      <c r="D478" s="1"/>
      <c r="E478" s="1"/>
      <c r="F478" s="1"/>
      <c r="G478" s="445"/>
      <c r="H478" s="1"/>
      <c r="I478" s="446"/>
      <c r="J478" s="1"/>
      <c r="K478" s="1"/>
      <c r="L478" s="1"/>
      <c r="M478" s="431"/>
      <c r="N478" s="1"/>
      <c r="O478" s="1"/>
      <c r="Q478" s="1"/>
      <c r="W478" s="310"/>
      <c r="X478" s="310"/>
      <c r="Y478" s="310"/>
    </row>
    <row r="479" spans="1:25" ht="18.75" customHeight="1" x14ac:dyDescent="0.2">
      <c r="A479" s="444"/>
      <c r="B479" s="1"/>
      <c r="C479" s="1"/>
      <c r="D479" s="1"/>
      <c r="E479" s="1"/>
      <c r="F479" s="1"/>
      <c r="G479" s="445"/>
      <c r="H479" s="1"/>
      <c r="I479" s="446"/>
      <c r="J479" s="1"/>
      <c r="K479" s="1"/>
      <c r="L479" s="1"/>
      <c r="M479" s="431"/>
      <c r="N479" s="1"/>
      <c r="O479" s="1"/>
      <c r="Q479" s="1"/>
      <c r="W479" s="310"/>
      <c r="X479" s="310"/>
      <c r="Y479" s="310"/>
    </row>
    <row r="480" spans="1:25" ht="18.75" customHeight="1" x14ac:dyDescent="0.2">
      <c r="A480" s="444"/>
      <c r="B480" s="1"/>
      <c r="C480" s="1"/>
      <c r="D480" s="1"/>
      <c r="E480" s="1"/>
      <c r="F480" s="1"/>
      <c r="G480" s="445"/>
      <c r="H480" s="1"/>
      <c r="I480" s="446"/>
      <c r="J480" s="1"/>
      <c r="K480" s="1"/>
      <c r="L480" s="1"/>
      <c r="M480" s="431"/>
      <c r="N480" s="1"/>
      <c r="O480" s="1"/>
      <c r="Q480" s="1"/>
      <c r="W480" s="310"/>
      <c r="X480" s="310"/>
      <c r="Y480" s="310"/>
    </row>
    <row r="481" spans="1:25" ht="18.75" customHeight="1" x14ac:dyDescent="0.2">
      <c r="A481" s="444"/>
      <c r="B481" s="1"/>
      <c r="C481" s="1"/>
      <c r="D481" s="1"/>
      <c r="E481" s="1"/>
      <c r="F481" s="1"/>
      <c r="G481" s="445"/>
      <c r="H481" s="1"/>
      <c r="I481" s="446"/>
      <c r="J481" s="1"/>
      <c r="K481" s="1"/>
      <c r="L481" s="1"/>
      <c r="M481" s="431"/>
      <c r="N481" s="1"/>
      <c r="O481" s="1"/>
      <c r="Q481" s="1"/>
      <c r="W481" s="310"/>
      <c r="X481" s="310"/>
      <c r="Y481" s="310"/>
    </row>
    <row r="482" spans="1:25" ht="18.75" customHeight="1" x14ac:dyDescent="0.2">
      <c r="A482" s="444"/>
      <c r="B482" s="1"/>
      <c r="C482" s="1"/>
      <c r="D482" s="1"/>
      <c r="E482" s="1"/>
      <c r="F482" s="1"/>
      <c r="G482" s="445"/>
      <c r="H482" s="1"/>
      <c r="I482" s="446"/>
      <c r="J482" s="1"/>
      <c r="K482" s="1"/>
      <c r="L482" s="1"/>
      <c r="M482" s="431"/>
      <c r="N482" s="1"/>
      <c r="O482" s="1"/>
      <c r="Q482" s="1"/>
      <c r="W482" s="310"/>
      <c r="X482" s="310"/>
      <c r="Y482" s="310"/>
    </row>
    <row r="483" spans="1:25" ht="18.75" customHeight="1" x14ac:dyDescent="0.2">
      <c r="A483" s="444"/>
      <c r="B483" s="1"/>
      <c r="C483" s="1"/>
      <c r="D483" s="1"/>
      <c r="E483" s="1"/>
      <c r="F483" s="1"/>
      <c r="G483" s="445"/>
      <c r="H483" s="1"/>
      <c r="I483" s="446"/>
      <c r="J483" s="1"/>
      <c r="K483" s="1"/>
      <c r="L483" s="1"/>
      <c r="M483" s="431"/>
      <c r="N483" s="1"/>
      <c r="O483" s="1"/>
      <c r="Q483" s="1"/>
      <c r="W483" s="310"/>
      <c r="X483" s="310"/>
      <c r="Y483" s="310"/>
    </row>
    <row r="484" spans="1:25" ht="18.75" customHeight="1" x14ac:dyDescent="0.2">
      <c r="A484" s="444"/>
      <c r="B484" s="1"/>
      <c r="C484" s="1"/>
      <c r="D484" s="1"/>
      <c r="E484" s="1"/>
      <c r="F484" s="1"/>
      <c r="G484" s="445"/>
      <c r="H484" s="1"/>
      <c r="I484" s="446"/>
      <c r="J484" s="1"/>
      <c r="K484" s="1"/>
      <c r="L484" s="1"/>
      <c r="M484" s="431"/>
      <c r="N484" s="1"/>
      <c r="O484" s="1"/>
      <c r="Q484" s="1"/>
      <c r="W484" s="310"/>
      <c r="X484" s="310"/>
      <c r="Y484" s="310"/>
    </row>
    <row r="485" spans="1:25" ht="18.75" customHeight="1" x14ac:dyDescent="0.2">
      <c r="A485" s="444"/>
      <c r="B485" s="1"/>
      <c r="C485" s="1"/>
      <c r="D485" s="1"/>
      <c r="E485" s="1"/>
      <c r="F485" s="1"/>
      <c r="G485" s="445"/>
      <c r="H485" s="1"/>
      <c r="I485" s="446"/>
      <c r="J485" s="1"/>
      <c r="K485" s="1"/>
      <c r="L485" s="1"/>
      <c r="M485" s="431"/>
      <c r="N485" s="1"/>
      <c r="O485" s="1"/>
      <c r="Q485" s="1"/>
      <c r="W485" s="310"/>
      <c r="X485" s="310"/>
      <c r="Y485" s="310"/>
    </row>
    <row r="486" spans="1:25" ht="18.75" customHeight="1" x14ac:dyDescent="0.2">
      <c r="A486" s="444"/>
      <c r="B486" s="1"/>
      <c r="C486" s="1"/>
      <c r="D486" s="1"/>
      <c r="E486" s="1"/>
      <c r="F486" s="1"/>
      <c r="G486" s="445"/>
      <c r="H486" s="1"/>
      <c r="I486" s="446"/>
      <c r="J486" s="1"/>
      <c r="K486" s="1"/>
      <c r="L486" s="1"/>
      <c r="M486" s="431"/>
      <c r="N486" s="1"/>
      <c r="O486" s="1"/>
      <c r="Q486" s="1"/>
      <c r="W486" s="310"/>
      <c r="X486" s="310"/>
      <c r="Y486" s="310"/>
    </row>
    <row r="487" spans="1:25" ht="18.75" customHeight="1" x14ac:dyDescent="0.2">
      <c r="A487" s="444"/>
      <c r="B487" s="1"/>
      <c r="C487" s="1"/>
      <c r="D487" s="1"/>
      <c r="E487" s="1"/>
      <c r="F487" s="1"/>
      <c r="G487" s="445"/>
      <c r="H487" s="1"/>
      <c r="I487" s="446"/>
      <c r="J487" s="1"/>
      <c r="K487" s="1"/>
      <c r="L487" s="1"/>
      <c r="M487" s="431"/>
      <c r="N487" s="1"/>
      <c r="O487" s="1"/>
      <c r="Q487" s="1"/>
      <c r="W487" s="310"/>
      <c r="X487" s="310"/>
      <c r="Y487" s="310"/>
    </row>
    <row r="488" spans="1:25" ht="18.75" customHeight="1" x14ac:dyDescent="0.2">
      <c r="A488" s="444"/>
      <c r="B488" s="1"/>
      <c r="C488" s="1"/>
      <c r="D488" s="1"/>
      <c r="E488" s="1"/>
      <c r="F488" s="1"/>
      <c r="G488" s="445"/>
      <c r="H488" s="1"/>
      <c r="I488" s="446"/>
      <c r="J488" s="1"/>
      <c r="K488" s="1"/>
      <c r="L488" s="1"/>
      <c r="M488" s="431"/>
      <c r="N488" s="1"/>
      <c r="O488" s="1"/>
      <c r="Q488" s="1"/>
      <c r="W488" s="310"/>
      <c r="X488" s="310"/>
      <c r="Y488" s="310"/>
    </row>
    <row r="489" spans="1:25" ht="18.75" customHeight="1" x14ac:dyDescent="0.2">
      <c r="A489" s="444"/>
      <c r="B489" s="1"/>
      <c r="C489" s="1"/>
      <c r="D489" s="1"/>
      <c r="E489" s="1"/>
      <c r="F489" s="1"/>
      <c r="G489" s="445"/>
      <c r="H489" s="1"/>
      <c r="I489" s="446"/>
      <c r="J489" s="1"/>
      <c r="K489" s="1"/>
      <c r="L489" s="1"/>
      <c r="M489" s="431"/>
      <c r="N489" s="1"/>
      <c r="O489" s="1"/>
      <c r="Q489" s="1"/>
      <c r="W489" s="310"/>
      <c r="X489" s="310"/>
      <c r="Y489" s="310"/>
    </row>
    <row r="490" spans="1:25" ht="18.75" customHeight="1" x14ac:dyDescent="0.2">
      <c r="A490" s="444"/>
      <c r="B490" s="1"/>
      <c r="C490" s="1"/>
      <c r="D490" s="1"/>
      <c r="E490" s="1"/>
      <c r="F490" s="1"/>
      <c r="G490" s="445"/>
      <c r="H490" s="1"/>
      <c r="I490" s="446"/>
      <c r="J490" s="1"/>
      <c r="K490" s="1"/>
      <c r="L490" s="1"/>
      <c r="M490" s="431"/>
      <c r="N490" s="1"/>
      <c r="O490" s="1"/>
      <c r="Q490" s="1"/>
      <c r="W490" s="310"/>
      <c r="X490" s="310"/>
      <c r="Y490" s="310"/>
    </row>
    <row r="491" spans="1:25" ht="18.75" customHeight="1" x14ac:dyDescent="0.2">
      <c r="A491" s="444"/>
      <c r="B491" s="1"/>
      <c r="C491" s="1"/>
      <c r="D491" s="1"/>
      <c r="E491" s="1"/>
      <c r="F491" s="1"/>
      <c r="G491" s="445"/>
      <c r="H491" s="1"/>
      <c r="I491" s="446"/>
      <c r="J491" s="1"/>
      <c r="K491" s="1"/>
      <c r="L491" s="1"/>
      <c r="M491" s="431"/>
      <c r="N491" s="1"/>
      <c r="O491" s="1"/>
      <c r="Q491" s="1"/>
      <c r="W491" s="310"/>
      <c r="X491" s="310"/>
      <c r="Y491" s="310"/>
    </row>
    <row r="492" spans="1:25" ht="18.75" customHeight="1" x14ac:dyDescent="0.2">
      <c r="A492" s="444"/>
      <c r="B492" s="1"/>
      <c r="C492" s="1"/>
      <c r="D492" s="1"/>
      <c r="E492" s="1"/>
      <c r="F492" s="1"/>
      <c r="G492" s="445"/>
      <c r="H492" s="1"/>
      <c r="I492" s="446"/>
      <c r="J492" s="1"/>
      <c r="K492" s="1"/>
      <c r="L492" s="1"/>
      <c r="M492" s="431"/>
      <c r="N492" s="1"/>
      <c r="O492" s="1"/>
      <c r="Q492" s="1"/>
      <c r="W492" s="310"/>
      <c r="X492" s="310"/>
      <c r="Y492" s="310"/>
    </row>
    <row r="493" spans="1:25" ht="18.75" customHeight="1" x14ac:dyDescent="0.2">
      <c r="A493" s="444"/>
      <c r="B493" s="1"/>
      <c r="C493" s="1"/>
      <c r="D493" s="1"/>
      <c r="E493" s="1"/>
      <c r="F493" s="1"/>
      <c r="G493" s="445"/>
      <c r="H493" s="1"/>
      <c r="I493" s="446"/>
      <c r="J493" s="1"/>
      <c r="K493" s="1"/>
      <c r="L493" s="1"/>
      <c r="M493" s="431"/>
      <c r="N493" s="1"/>
      <c r="O493" s="1"/>
      <c r="Q493" s="1"/>
      <c r="W493" s="310"/>
      <c r="X493" s="310"/>
      <c r="Y493" s="310"/>
    </row>
    <row r="494" spans="1:25" ht="18.75" customHeight="1" x14ac:dyDescent="0.2">
      <c r="A494" s="444"/>
      <c r="B494" s="1"/>
      <c r="C494" s="1"/>
      <c r="D494" s="1"/>
      <c r="E494" s="1"/>
      <c r="F494" s="1"/>
      <c r="G494" s="445"/>
      <c r="H494" s="1"/>
      <c r="I494" s="446"/>
      <c r="J494" s="1"/>
      <c r="K494" s="1"/>
      <c r="L494" s="1"/>
      <c r="M494" s="431"/>
      <c r="N494" s="1"/>
      <c r="O494" s="1"/>
      <c r="Q494" s="1"/>
      <c r="W494" s="310"/>
      <c r="X494" s="310"/>
      <c r="Y494" s="310"/>
    </row>
    <row r="495" spans="1:25" ht="18.75" customHeight="1" x14ac:dyDescent="0.2">
      <c r="A495" s="444"/>
      <c r="B495" s="1"/>
      <c r="C495" s="1"/>
      <c r="D495" s="1"/>
      <c r="E495" s="1"/>
      <c r="F495" s="1"/>
      <c r="G495" s="445"/>
      <c r="H495" s="1"/>
      <c r="I495" s="446"/>
      <c r="J495" s="1"/>
      <c r="K495" s="1"/>
      <c r="L495" s="1"/>
      <c r="M495" s="431"/>
      <c r="N495" s="1"/>
      <c r="O495" s="1"/>
      <c r="Q495" s="1"/>
      <c r="W495" s="310"/>
      <c r="X495" s="310"/>
      <c r="Y495" s="310"/>
    </row>
    <row r="496" spans="1:25" ht="18.75" customHeight="1" x14ac:dyDescent="0.2">
      <c r="A496" s="444"/>
      <c r="B496" s="1"/>
      <c r="C496" s="1"/>
      <c r="D496" s="1"/>
      <c r="E496" s="1"/>
      <c r="F496" s="1"/>
      <c r="G496" s="445"/>
      <c r="H496" s="1"/>
      <c r="I496" s="446"/>
      <c r="J496" s="1"/>
      <c r="K496" s="1"/>
      <c r="L496" s="1"/>
      <c r="M496" s="431"/>
      <c r="N496" s="1"/>
      <c r="O496" s="1"/>
      <c r="Q496" s="1"/>
      <c r="W496" s="310"/>
      <c r="X496" s="310"/>
      <c r="Y496" s="310"/>
    </row>
    <row r="497" spans="1:25" ht="18.75" customHeight="1" x14ac:dyDescent="0.2">
      <c r="A497" s="444"/>
      <c r="B497" s="1"/>
      <c r="C497" s="1"/>
      <c r="D497" s="1"/>
      <c r="E497" s="1"/>
      <c r="F497" s="1"/>
      <c r="G497" s="445"/>
      <c r="H497" s="1"/>
      <c r="I497" s="446"/>
      <c r="J497" s="1"/>
      <c r="K497" s="1"/>
      <c r="L497" s="1"/>
      <c r="M497" s="431"/>
      <c r="N497" s="1"/>
      <c r="O497" s="1"/>
      <c r="Q497" s="1"/>
      <c r="W497" s="310"/>
      <c r="X497" s="310"/>
      <c r="Y497" s="310"/>
    </row>
    <row r="498" spans="1:25" ht="18.75" customHeight="1" x14ac:dyDescent="0.2">
      <c r="A498" s="444"/>
      <c r="B498" s="1"/>
      <c r="C498" s="1"/>
      <c r="D498" s="1"/>
      <c r="E498" s="1"/>
      <c r="F498" s="1"/>
      <c r="G498" s="445"/>
      <c r="H498" s="1"/>
      <c r="I498" s="446"/>
      <c r="J498" s="1"/>
      <c r="K498" s="1"/>
      <c r="L498" s="1"/>
      <c r="M498" s="431"/>
      <c r="N498" s="1"/>
      <c r="O498" s="1"/>
      <c r="Q498" s="1"/>
      <c r="W498" s="310"/>
      <c r="X498" s="310"/>
      <c r="Y498" s="310"/>
    </row>
    <row r="499" spans="1:25" ht="18.75" customHeight="1" x14ac:dyDescent="0.2">
      <c r="A499" s="444"/>
      <c r="B499" s="1"/>
      <c r="C499" s="1"/>
      <c r="D499" s="1"/>
      <c r="E499" s="1"/>
      <c r="F499" s="1"/>
      <c r="G499" s="445"/>
      <c r="H499" s="1"/>
      <c r="I499" s="446"/>
      <c r="J499" s="1"/>
      <c r="K499" s="1"/>
      <c r="L499" s="1"/>
      <c r="M499" s="431"/>
      <c r="N499" s="1"/>
      <c r="O499" s="1"/>
      <c r="Q499" s="1"/>
      <c r="W499" s="310"/>
      <c r="X499" s="310"/>
      <c r="Y499" s="310"/>
    </row>
    <row r="500" spans="1:25" ht="18.75" customHeight="1" x14ac:dyDescent="0.2">
      <c r="A500" s="444"/>
      <c r="B500" s="1"/>
      <c r="C500" s="1"/>
      <c r="D500" s="1"/>
      <c r="E500" s="1"/>
      <c r="F500" s="1"/>
      <c r="G500" s="445"/>
      <c r="H500" s="1"/>
      <c r="I500" s="446"/>
      <c r="J500" s="1"/>
      <c r="K500" s="1"/>
      <c r="L500" s="1"/>
      <c r="M500" s="431"/>
      <c r="N500" s="1"/>
      <c r="O500" s="1"/>
      <c r="Q500" s="1"/>
      <c r="W500" s="310"/>
      <c r="X500" s="310"/>
      <c r="Y500" s="310"/>
    </row>
    <row r="501" spans="1:25" ht="18.75" customHeight="1" x14ac:dyDescent="0.2">
      <c r="A501" s="444"/>
      <c r="B501" s="1"/>
      <c r="C501" s="1"/>
      <c r="D501" s="1"/>
      <c r="E501" s="1"/>
      <c r="F501" s="1"/>
      <c r="G501" s="445"/>
      <c r="H501" s="1"/>
      <c r="I501" s="446"/>
      <c r="J501" s="1"/>
      <c r="K501" s="1"/>
      <c r="L501" s="1"/>
      <c r="M501" s="431"/>
      <c r="N501" s="1"/>
      <c r="O501" s="1"/>
      <c r="Q501" s="1"/>
      <c r="W501" s="310"/>
      <c r="X501" s="310"/>
      <c r="Y501" s="310"/>
    </row>
    <row r="502" spans="1:25" ht="18.75" customHeight="1" x14ac:dyDescent="0.2">
      <c r="A502" s="444"/>
      <c r="B502" s="1"/>
      <c r="C502" s="1"/>
      <c r="D502" s="1"/>
      <c r="E502" s="1"/>
      <c r="F502" s="1"/>
      <c r="G502" s="445"/>
      <c r="H502" s="1"/>
      <c r="I502" s="446"/>
      <c r="J502" s="1"/>
      <c r="K502" s="1"/>
      <c r="L502" s="1"/>
      <c r="M502" s="431"/>
      <c r="N502" s="1"/>
      <c r="O502" s="1"/>
      <c r="Q502" s="1"/>
      <c r="W502" s="310"/>
      <c r="X502" s="310"/>
      <c r="Y502" s="310"/>
    </row>
    <row r="503" spans="1:25" ht="18.75" customHeight="1" x14ac:dyDescent="0.2">
      <c r="A503" s="444"/>
      <c r="B503" s="1"/>
      <c r="C503" s="1"/>
      <c r="D503" s="1"/>
      <c r="E503" s="1"/>
      <c r="F503" s="1"/>
      <c r="G503" s="445"/>
      <c r="H503" s="1"/>
      <c r="I503" s="446"/>
      <c r="J503" s="1"/>
      <c r="K503" s="1"/>
      <c r="L503" s="1"/>
      <c r="M503" s="431"/>
      <c r="N503" s="1"/>
      <c r="O503" s="1"/>
      <c r="Q503" s="1"/>
      <c r="W503" s="310"/>
      <c r="X503" s="310"/>
      <c r="Y503" s="310"/>
    </row>
    <row r="504" spans="1:25" ht="18.75" customHeight="1" x14ac:dyDescent="0.2">
      <c r="A504" s="444"/>
      <c r="B504" s="1"/>
      <c r="C504" s="1"/>
      <c r="D504" s="1"/>
      <c r="E504" s="1"/>
      <c r="F504" s="1"/>
      <c r="G504" s="445"/>
      <c r="H504" s="1"/>
      <c r="I504" s="446"/>
      <c r="J504" s="1"/>
      <c r="K504" s="1"/>
      <c r="L504" s="1"/>
      <c r="M504" s="431"/>
      <c r="N504" s="1"/>
      <c r="O504" s="1"/>
      <c r="Q504" s="1"/>
      <c r="W504" s="310"/>
      <c r="X504" s="310"/>
      <c r="Y504" s="310"/>
    </row>
    <row r="505" spans="1:25" ht="18.75" customHeight="1" x14ac:dyDescent="0.2">
      <c r="A505" s="444"/>
      <c r="B505" s="1"/>
      <c r="C505" s="1"/>
      <c r="D505" s="1"/>
      <c r="E505" s="1"/>
      <c r="F505" s="1"/>
      <c r="G505" s="445"/>
      <c r="H505" s="1"/>
      <c r="I505" s="446"/>
      <c r="J505" s="1"/>
      <c r="K505" s="1"/>
      <c r="L505" s="1"/>
      <c r="M505" s="431"/>
      <c r="N505" s="1"/>
      <c r="O505" s="1"/>
      <c r="Q505" s="1"/>
      <c r="W505" s="310"/>
      <c r="X505" s="310"/>
      <c r="Y505" s="310"/>
    </row>
    <row r="506" spans="1:25" ht="18.75" customHeight="1" x14ac:dyDescent="0.2">
      <c r="A506" s="444"/>
      <c r="B506" s="1"/>
      <c r="C506" s="1"/>
      <c r="D506" s="1"/>
      <c r="E506" s="1"/>
      <c r="F506" s="1"/>
      <c r="G506" s="445"/>
      <c r="H506" s="1"/>
      <c r="I506" s="446"/>
      <c r="J506" s="1"/>
      <c r="K506" s="1"/>
      <c r="L506" s="1"/>
      <c r="M506" s="431"/>
      <c r="N506" s="1"/>
      <c r="O506" s="1"/>
      <c r="Q506" s="1"/>
      <c r="W506" s="310"/>
      <c r="X506" s="310"/>
      <c r="Y506" s="310"/>
    </row>
    <row r="507" spans="1:25" ht="18.75" customHeight="1" x14ac:dyDescent="0.2">
      <c r="A507" s="444"/>
      <c r="B507" s="1"/>
      <c r="C507" s="1"/>
      <c r="D507" s="1"/>
      <c r="E507" s="1"/>
      <c r="F507" s="1"/>
      <c r="G507" s="445"/>
      <c r="H507" s="1"/>
      <c r="I507" s="446"/>
      <c r="J507" s="1"/>
      <c r="K507" s="1"/>
      <c r="L507" s="1"/>
      <c r="M507" s="431"/>
      <c r="N507" s="1"/>
      <c r="O507" s="1"/>
      <c r="Q507" s="1"/>
      <c r="W507" s="310"/>
      <c r="X507" s="310"/>
      <c r="Y507" s="310"/>
    </row>
    <row r="508" spans="1:25" ht="18.75" customHeight="1" x14ac:dyDescent="0.2">
      <c r="A508" s="444"/>
      <c r="B508" s="1"/>
      <c r="C508" s="1"/>
      <c r="D508" s="1"/>
      <c r="E508" s="1"/>
      <c r="F508" s="1"/>
      <c r="G508" s="445"/>
      <c r="H508" s="1"/>
      <c r="I508" s="446"/>
      <c r="J508" s="1"/>
      <c r="K508" s="1"/>
      <c r="L508" s="1"/>
      <c r="M508" s="431"/>
      <c r="N508" s="1"/>
      <c r="O508" s="1"/>
      <c r="Q508" s="1"/>
      <c r="W508" s="310"/>
      <c r="X508" s="310"/>
      <c r="Y508" s="310"/>
    </row>
    <row r="509" spans="1:25" ht="18.75" customHeight="1" x14ac:dyDescent="0.2">
      <c r="A509" s="444"/>
      <c r="B509" s="1"/>
      <c r="C509" s="1"/>
      <c r="D509" s="1"/>
      <c r="E509" s="1"/>
      <c r="F509" s="1"/>
      <c r="G509" s="445"/>
      <c r="H509" s="1"/>
      <c r="I509" s="446"/>
      <c r="J509" s="1"/>
      <c r="K509" s="1"/>
      <c r="L509" s="1"/>
      <c r="M509" s="431"/>
      <c r="N509" s="1"/>
      <c r="O509" s="1"/>
      <c r="Q509" s="1"/>
      <c r="W509" s="310"/>
      <c r="X509" s="310"/>
      <c r="Y509" s="310"/>
    </row>
    <row r="510" spans="1:25" ht="18.75" customHeight="1" x14ac:dyDescent="0.2">
      <c r="A510" s="444"/>
      <c r="B510" s="1"/>
      <c r="C510" s="1"/>
      <c r="D510" s="1"/>
      <c r="E510" s="1"/>
      <c r="F510" s="1"/>
      <c r="G510" s="445"/>
      <c r="H510" s="1"/>
      <c r="I510" s="446"/>
      <c r="J510" s="1"/>
      <c r="K510" s="1"/>
      <c r="L510" s="1"/>
      <c r="M510" s="431"/>
      <c r="N510" s="1"/>
      <c r="O510" s="1"/>
      <c r="Q510" s="1"/>
      <c r="W510" s="310"/>
      <c r="X510" s="310"/>
      <c r="Y510" s="310"/>
    </row>
    <row r="511" spans="1:25" ht="18.75" customHeight="1" x14ac:dyDescent="0.2">
      <c r="A511" s="444"/>
      <c r="B511" s="1"/>
      <c r="C511" s="1"/>
      <c r="D511" s="1"/>
      <c r="E511" s="1"/>
      <c r="F511" s="1"/>
      <c r="G511" s="445"/>
      <c r="H511" s="1"/>
      <c r="I511" s="446"/>
      <c r="J511" s="1"/>
      <c r="K511" s="1"/>
      <c r="L511" s="1"/>
      <c r="M511" s="431"/>
      <c r="N511" s="1"/>
      <c r="O511" s="1"/>
      <c r="Q511" s="1"/>
      <c r="W511" s="310"/>
      <c r="X511" s="310"/>
      <c r="Y511" s="310"/>
    </row>
    <row r="512" spans="1:25" ht="18.75" customHeight="1" x14ac:dyDescent="0.2">
      <c r="A512" s="444"/>
      <c r="B512" s="1"/>
      <c r="C512" s="1"/>
      <c r="D512" s="1"/>
      <c r="E512" s="1"/>
      <c r="F512" s="1"/>
      <c r="G512" s="445"/>
      <c r="H512" s="1"/>
      <c r="I512" s="446"/>
      <c r="J512" s="1"/>
      <c r="K512" s="1"/>
      <c r="L512" s="1"/>
      <c r="M512" s="431"/>
      <c r="N512" s="1"/>
      <c r="O512" s="1"/>
      <c r="Q512" s="1"/>
      <c r="W512" s="310"/>
      <c r="X512" s="310"/>
      <c r="Y512" s="310"/>
    </row>
    <row r="513" spans="1:25" ht="18.75" customHeight="1" x14ac:dyDescent="0.2">
      <c r="A513" s="444"/>
      <c r="B513" s="1"/>
      <c r="C513" s="1"/>
      <c r="D513" s="1"/>
      <c r="E513" s="1"/>
      <c r="F513" s="1"/>
      <c r="G513" s="445"/>
      <c r="H513" s="1"/>
      <c r="I513" s="446"/>
      <c r="J513" s="1"/>
      <c r="K513" s="1"/>
      <c r="L513" s="1"/>
      <c r="M513" s="431"/>
      <c r="N513" s="1"/>
      <c r="O513" s="1"/>
      <c r="Q513" s="1"/>
      <c r="W513" s="310"/>
      <c r="X513" s="310"/>
      <c r="Y513" s="310"/>
    </row>
    <row r="514" spans="1:25" ht="18.75" customHeight="1" x14ac:dyDescent="0.2">
      <c r="A514" s="444"/>
      <c r="B514" s="1"/>
      <c r="C514" s="1"/>
      <c r="D514" s="1"/>
      <c r="E514" s="1"/>
      <c r="F514" s="1"/>
      <c r="G514" s="445"/>
      <c r="H514" s="1"/>
      <c r="I514" s="446"/>
      <c r="J514" s="1"/>
      <c r="K514" s="1"/>
      <c r="L514" s="1"/>
      <c r="M514" s="431"/>
      <c r="N514" s="1"/>
      <c r="O514" s="1"/>
      <c r="Q514" s="1"/>
      <c r="W514" s="310"/>
      <c r="X514" s="310"/>
      <c r="Y514" s="310"/>
    </row>
    <row r="515" spans="1:25" ht="18.75" customHeight="1" x14ac:dyDescent="0.2">
      <c r="A515" s="444"/>
      <c r="B515" s="1"/>
      <c r="C515" s="1"/>
      <c r="D515" s="1"/>
      <c r="E515" s="1"/>
      <c r="F515" s="1"/>
      <c r="G515" s="445"/>
      <c r="H515" s="1"/>
      <c r="I515" s="446"/>
      <c r="J515" s="1"/>
      <c r="K515" s="1"/>
      <c r="L515" s="1"/>
      <c r="M515" s="431"/>
      <c r="N515" s="1"/>
      <c r="O515" s="1"/>
      <c r="Q515" s="1"/>
      <c r="W515" s="310"/>
      <c r="X515" s="310"/>
      <c r="Y515" s="310"/>
    </row>
    <row r="516" spans="1:25" ht="18.75" customHeight="1" x14ac:dyDescent="0.2">
      <c r="A516" s="444"/>
      <c r="B516" s="1"/>
      <c r="C516" s="1"/>
      <c r="D516" s="1"/>
      <c r="E516" s="1"/>
      <c r="F516" s="1"/>
      <c r="G516" s="445"/>
      <c r="H516" s="1"/>
      <c r="I516" s="446"/>
      <c r="J516" s="1"/>
      <c r="K516" s="1"/>
      <c r="L516" s="1"/>
      <c r="M516" s="431"/>
      <c r="N516" s="1"/>
      <c r="O516" s="1"/>
      <c r="Q516" s="1"/>
      <c r="W516" s="310"/>
      <c r="X516" s="310"/>
      <c r="Y516" s="310"/>
    </row>
    <row r="517" spans="1:25" ht="18.75" customHeight="1" x14ac:dyDescent="0.2">
      <c r="A517" s="444"/>
      <c r="B517" s="1"/>
      <c r="C517" s="1"/>
      <c r="D517" s="1"/>
      <c r="E517" s="1"/>
      <c r="F517" s="1"/>
      <c r="G517" s="445"/>
      <c r="H517" s="1"/>
      <c r="I517" s="446"/>
      <c r="J517" s="1"/>
      <c r="K517" s="1"/>
      <c r="L517" s="1"/>
      <c r="M517" s="431"/>
      <c r="N517" s="1"/>
      <c r="O517" s="1"/>
      <c r="Q517" s="1"/>
      <c r="W517" s="310"/>
      <c r="X517" s="310"/>
      <c r="Y517" s="310"/>
    </row>
    <row r="518" spans="1:25" ht="18.75" customHeight="1" x14ac:dyDescent="0.2">
      <c r="A518" s="444"/>
      <c r="B518" s="1"/>
      <c r="C518" s="1"/>
      <c r="D518" s="1"/>
      <c r="E518" s="1"/>
      <c r="F518" s="1"/>
      <c r="G518" s="445"/>
      <c r="H518" s="1"/>
      <c r="I518" s="446"/>
      <c r="J518" s="1"/>
      <c r="K518" s="1"/>
      <c r="L518" s="1"/>
      <c r="M518" s="431"/>
      <c r="N518" s="1"/>
      <c r="O518" s="1"/>
      <c r="Q518" s="1"/>
      <c r="W518" s="310"/>
      <c r="X518" s="310"/>
      <c r="Y518" s="310"/>
    </row>
    <row r="519" spans="1:25" ht="18.75" customHeight="1" x14ac:dyDescent="0.2">
      <c r="A519" s="444"/>
      <c r="B519" s="1"/>
      <c r="C519" s="1"/>
      <c r="D519" s="1"/>
      <c r="E519" s="1"/>
      <c r="F519" s="1"/>
      <c r="G519" s="445"/>
      <c r="H519" s="1"/>
      <c r="I519" s="446"/>
      <c r="J519" s="1"/>
      <c r="K519" s="1"/>
      <c r="L519" s="1"/>
      <c r="M519" s="431"/>
      <c r="N519" s="1"/>
      <c r="O519" s="1"/>
      <c r="Q519" s="1"/>
      <c r="W519" s="310"/>
      <c r="X519" s="310"/>
      <c r="Y519" s="310"/>
    </row>
    <row r="520" spans="1:25" ht="18.75" customHeight="1" x14ac:dyDescent="0.2">
      <c r="A520" s="444"/>
      <c r="B520" s="1"/>
      <c r="C520" s="1"/>
      <c r="D520" s="1"/>
      <c r="E520" s="1"/>
      <c r="F520" s="1"/>
      <c r="G520" s="445"/>
      <c r="H520" s="1"/>
      <c r="I520" s="446"/>
      <c r="J520" s="1"/>
      <c r="K520" s="1"/>
      <c r="L520" s="1"/>
      <c r="M520" s="431"/>
      <c r="N520" s="1"/>
      <c r="O520" s="1"/>
      <c r="Q520" s="1"/>
      <c r="W520" s="310"/>
      <c r="X520" s="310"/>
      <c r="Y520" s="310"/>
    </row>
    <row r="521" spans="1:25" ht="18.75" customHeight="1" x14ac:dyDescent="0.2">
      <c r="A521" s="444"/>
      <c r="B521" s="1"/>
      <c r="C521" s="1"/>
      <c r="D521" s="1"/>
      <c r="E521" s="1"/>
      <c r="F521" s="1"/>
      <c r="G521" s="445"/>
      <c r="H521" s="1"/>
      <c r="I521" s="446"/>
      <c r="J521" s="1"/>
      <c r="K521" s="1"/>
      <c r="L521" s="1"/>
      <c r="M521" s="431"/>
      <c r="N521" s="1"/>
      <c r="O521" s="1"/>
      <c r="Q521" s="1"/>
      <c r="W521" s="310"/>
      <c r="X521" s="310"/>
      <c r="Y521" s="310"/>
    </row>
    <row r="522" spans="1:25" ht="18.75" customHeight="1" x14ac:dyDescent="0.2">
      <c r="A522" s="444"/>
      <c r="B522" s="1"/>
      <c r="C522" s="1"/>
      <c r="D522" s="1"/>
      <c r="E522" s="1"/>
      <c r="F522" s="1"/>
      <c r="G522" s="445"/>
      <c r="H522" s="1"/>
      <c r="I522" s="446"/>
      <c r="J522" s="1"/>
      <c r="K522" s="1"/>
      <c r="L522" s="1"/>
      <c r="M522" s="431"/>
      <c r="N522" s="1"/>
      <c r="O522" s="1"/>
      <c r="Q522" s="1"/>
      <c r="W522" s="310"/>
      <c r="X522" s="310"/>
      <c r="Y522" s="310"/>
    </row>
    <row r="523" spans="1:25" ht="18.75" customHeight="1" x14ac:dyDescent="0.2">
      <c r="A523" s="444"/>
      <c r="B523" s="1"/>
      <c r="C523" s="1"/>
      <c r="D523" s="1"/>
      <c r="E523" s="1"/>
      <c r="F523" s="1"/>
      <c r="G523" s="445"/>
      <c r="H523" s="1"/>
      <c r="I523" s="446"/>
      <c r="J523" s="1"/>
      <c r="K523" s="1"/>
      <c r="L523" s="1"/>
      <c r="M523" s="431"/>
      <c r="N523" s="1"/>
      <c r="O523" s="1"/>
      <c r="Q523" s="1"/>
      <c r="W523" s="310"/>
      <c r="X523" s="310"/>
      <c r="Y523" s="310"/>
    </row>
    <row r="524" spans="1:25" ht="18.75" customHeight="1" x14ac:dyDescent="0.2">
      <c r="A524" s="444"/>
      <c r="B524" s="1"/>
      <c r="C524" s="1"/>
      <c r="D524" s="1"/>
      <c r="E524" s="1"/>
      <c r="F524" s="1"/>
      <c r="G524" s="445"/>
      <c r="H524" s="1"/>
      <c r="I524" s="446"/>
      <c r="J524" s="1"/>
      <c r="K524" s="1"/>
      <c r="L524" s="1"/>
      <c r="M524" s="431"/>
      <c r="N524" s="1"/>
      <c r="O524" s="1"/>
      <c r="Q524" s="1"/>
      <c r="W524" s="310"/>
      <c r="X524" s="310"/>
      <c r="Y524" s="310"/>
    </row>
    <row r="525" spans="1:25" ht="18.75" customHeight="1" x14ac:dyDescent="0.2">
      <c r="A525" s="444"/>
      <c r="B525" s="1"/>
      <c r="C525" s="1"/>
      <c r="D525" s="1"/>
      <c r="E525" s="1"/>
      <c r="F525" s="1"/>
      <c r="G525" s="445"/>
      <c r="H525" s="1"/>
      <c r="I525" s="446"/>
      <c r="J525" s="1"/>
      <c r="K525" s="1"/>
      <c r="L525" s="1"/>
      <c r="M525" s="431"/>
      <c r="N525" s="1"/>
      <c r="O525" s="1"/>
      <c r="Q525" s="1"/>
      <c r="W525" s="310"/>
      <c r="X525" s="310"/>
      <c r="Y525" s="310"/>
    </row>
    <row r="526" spans="1:25" ht="18.75" customHeight="1" x14ac:dyDescent="0.2">
      <c r="A526" s="444"/>
      <c r="B526" s="1"/>
      <c r="C526" s="1"/>
      <c r="D526" s="1"/>
      <c r="E526" s="1"/>
      <c r="F526" s="1"/>
      <c r="G526" s="445"/>
      <c r="H526" s="1"/>
      <c r="I526" s="446"/>
      <c r="J526" s="1"/>
      <c r="K526" s="1"/>
      <c r="L526" s="1"/>
      <c r="M526" s="431"/>
      <c r="N526" s="1"/>
      <c r="O526" s="1"/>
      <c r="Q526" s="1"/>
      <c r="W526" s="310"/>
      <c r="X526" s="310"/>
      <c r="Y526" s="310"/>
    </row>
    <row r="527" spans="1:25" ht="18.75" customHeight="1" x14ac:dyDescent="0.2">
      <c r="A527" s="444"/>
      <c r="B527" s="1"/>
      <c r="C527" s="1"/>
      <c r="D527" s="1"/>
      <c r="E527" s="1"/>
      <c r="F527" s="1"/>
      <c r="G527" s="445"/>
      <c r="H527" s="1"/>
      <c r="I527" s="446"/>
      <c r="J527" s="1"/>
      <c r="K527" s="1"/>
      <c r="L527" s="1"/>
      <c r="M527" s="431"/>
      <c r="N527" s="1"/>
      <c r="O527" s="1"/>
      <c r="Q527" s="1"/>
      <c r="W527" s="310"/>
      <c r="X527" s="310"/>
      <c r="Y527" s="310"/>
    </row>
    <row r="528" spans="1:25" ht="18.75" customHeight="1" x14ac:dyDescent="0.2">
      <c r="A528" s="444"/>
      <c r="B528" s="1"/>
      <c r="C528" s="1"/>
      <c r="D528" s="1"/>
      <c r="E528" s="1"/>
      <c r="F528" s="1"/>
      <c r="G528" s="445"/>
      <c r="H528" s="1"/>
      <c r="I528" s="446"/>
      <c r="J528" s="1"/>
      <c r="K528" s="1"/>
      <c r="L528" s="1"/>
      <c r="M528" s="431"/>
      <c r="N528" s="1"/>
      <c r="O528" s="1"/>
      <c r="Q528" s="1"/>
      <c r="W528" s="310"/>
      <c r="X528" s="310"/>
      <c r="Y528" s="310"/>
    </row>
    <row r="529" spans="1:25" ht="18.75" customHeight="1" x14ac:dyDescent="0.2">
      <c r="A529" s="444"/>
      <c r="B529" s="1"/>
      <c r="C529" s="1"/>
      <c r="D529" s="1"/>
      <c r="E529" s="1"/>
      <c r="F529" s="1"/>
      <c r="G529" s="445"/>
      <c r="H529" s="1"/>
      <c r="I529" s="446"/>
      <c r="J529" s="1"/>
      <c r="K529" s="1"/>
      <c r="L529" s="1"/>
      <c r="M529" s="431"/>
      <c r="N529" s="1"/>
      <c r="O529" s="1"/>
      <c r="Q529" s="1"/>
      <c r="W529" s="310"/>
      <c r="X529" s="310"/>
      <c r="Y529" s="310"/>
    </row>
    <row r="530" spans="1:25" ht="18.75" customHeight="1" x14ac:dyDescent="0.2">
      <c r="A530" s="444"/>
      <c r="B530" s="1"/>
      <c r="C530" s="1"/>
      <c r="D530" s="1"/>
      <c r="E530" s="1"/>
      <c r="F530" s="1"/>
      <c r="G530" s="445"/>
      <c r="H530" s="1"/>
      <c r="I530" s="446"/>
      <c r="J530" s="1"/>
      <c r="K530" s="1"/>
      <c r="L530" s="1"/>
      <c r="M530" s="431"/>
      <c r="N530" s="1"/>
      <c r="O530" s="1"/>
      <c r="Q530" s="1"/>
      <c r="W530" s="310"/>
      <c r="X530" s="310"/>
      <c r="Y530" s="310"/>
    </row>
    <row r="531" spans="1:25" ht="18.75" customHeight="1" x14ac:dyDescent="0.2">
      <c r="A531" s="444"/>
      <c r="B531" s="1"/>
      <c r="C531" s="1"/>
      <c r="D531" s="1"/>
      <c r="E531" s="1"/>
      <c r="F531" s="1"/>
      <c r="G531" s="445"/>
      <c r="H531" s="1"/>
      <c r="I531" s="446"/>
      <c r="J531" s="1"/>
      <c r="K531" s="1"/>
      <c r="L531" s="1"/>
      <c r="M531" s="431"/>
      <c r="N531" s="1"/>
      <c r="O531" s="1"/>
      <c r="Q531" s="1"/>
      <c r="W531" s="310"/>
      <c r="X531" s="310"/>
      <c r="Y531" s="310"/>
    </row>
    <row r="532" spans="1:25" ht="18.75" customHeight="1" x14ac:dyDescent="0.2">
      <c r="A532" s="444"/>
      <c r="B532" s="1"/>
      <c r="C532" s="1"/>
      <c r="D532" s="1"/>
      <c r="E532" s="1"/>
      <c r="F532" s="1"/>
      <c r="G532" s="445"/>
      <c r="H532" s="1"/>
      <c r="I532" s="446"/>
      <c r="J532" s="1"/>
      <c r="K532" s="1"/>
      <c r="L532" s="1"/>
      <c r="M532" s="431"/>
      <c r="N532" s="1"/>
      <c r="O532" s="1"/>
      <c r="Q532" s="1"/>
      <c r="W532" s="310"/>
      <c r="X532" s="310"/>
      <c r="Y532" s="310"/>
    </row>
    <row r="533" spans="1:25" ht="18.75" customHeight="1" x14ac:dyDescent="0.2">
      <c r="A533" s="444"/>
      <c r="B533" s="1"/>
      <c r="C533" s="1"/>
      <c r="D533" s="1"/>
      <c r="E533" s="1"/>
      <c r="F533" s="1"/>
      <c r="G533" s="445"/>
      <c r="H533" s="1"/>
      <c r="I533" s="446"/>
      <c r="J533" s="1"/>
      <c r="K533" s="1"/>
      <c r="L533" s="1"/>
      <c r="M533" s="431"/>
      <c r="N533" s="1"/>
      <c r="O533" s="1"/>
      <c r="Q533" s="1"/>
      <c r="W533" s="310"/>
      <c r="X533" s="310"/>
      <c r="Y533" s="310"/>
    </row>
    <row r="534" spans="1:25" ht="18.75" customHeight="1" x14ac:dyDescent="0.2">
      <c r="A534" s="444"/>
      <c r="B534" s="1"/>
      <c r="C534" s="1"/>
      <c r="D534" s="1"/>
      <c r="E534" s="1"/>
      <c r="F534" s="1"/>
      <c r="G534" s="445"/>
      <c r="H534" s="1"/>
      <c r="I534" s="446"/>
      <c r="J534" s="1"/>
      <c r="K534" s="1"/>
      <c r="L534" s="1"/>
      <c r="M534" s="431"/>
      <c r="N534" s="1"/>
      <c r="O534" s="1"/>
      <c r="Q534" s="1"/>
      <c r="W534" s="310"/>
      <c r="X534" s="310"/>
      <c r="Y534" s="310"/>
    </row>
    <row r="535" spans="1:25" ht="18.75" customHeight="1" x14ac:dyDescent="0.2">
      <c r="A535" s="444"/>
      <c r="B535" s="1"/>
      <c r="C535" s="1"/>
      <c r="D535" s="1"/>
      <c r="E535" s="1"/>
      <c r="F535" s="1"/>
      <c r="G535" s="445"/>
      <c r="H535" s="1"/>
      <c r="I535" s="446"/>
      <c r="J535" s="1"/>
      <c r="K535" s="1"/>
      <c r="L535" s="1"/>
      <c r="M535" s="431"/>
      <c r="N535" s="1"/>
      <c r="O535" s="1"/>
      <c r="Q535" s="1"/>
      <c r="W535" s="310"/>
      <c r="X535" s="310"/>
      <c r="Y535" s="310"/>
    </row>
    <row r="536" spans="1:25" ht="18.75" customHeight="1" x14ac:dyDescent="0.2">
      <c r="A536" s="444"/>
      <c r="B536" s="1"/>
      <c r="C536" s="1"/>
      <c r="D536" s="1"/>
      <c r="E536" s="1"/>
      <c r="F536" s="1"/>
      <c r="G536" s="445"/>
      <c r="H536" s="1"/>
      <c r="I536" s="446"/>
      <c r="J536" s="1"/>
      <c r="K536" s="1"/>
      <c r="L536" s="1"/>
      <c r="M536" s="431"/>
      <c r="N536" s="1"/>
      <c r="O536" s="1"/>
      <c r="Q536" s="1"/>
      <c r="W536" s="310"/>
      <c r="X536" s="310"/>
      <c r="Y536" s="310"/>
    </row>
    <row r="537" spans="1:25" ht="18.75" customHeight="1" x14ac:dyDescent="0.2">
      <c r="A537" s="444"/>
      <c r="B537" s="1"/>
      <c r="C537" s="1"/>
      <c r="D537" s="1"/>
      <c r="E537" s="1"/>
      <c r="F537" s="1"/>
      <c r="G537" s="445"/>
      <c r="H537" s="1"/>
      <c r="I537" s="446"/>
      <c r="J537" s="1"/>
      <c r="K537" s="1"/>
      <c r="L537" s="1"/>
      <c r="M537" s="431"/>
      <c r="N537" s="1"/>
      <c r="O537" s="1"/>
      <c r="Q537" s="1"/>
      <c r="W537" s="310"/>
      <c r="X537" s="310"/>
      <c r="Y537" s="310"/>
    </row>
    <row r="538" spans="1:25" ht="18.75" customHeight="1" x14ac:dyDescent="0.2">
      <c r="A538" s="444"/>
      <c r="B538" s="1"/>
      <c r="C538" s="1"/>
      <c r="D538" s="1"/>
      <c r="E538" s="1"/>
      <c r="F538" s="1"/>
      <c r="G538" s="445"/>
      <c r="H538" s="1"/>
      <c r="I538" s="446"/>
      <c r="J538" s="1"/>
      <c r="K538" s="1"/>
      <c r="L538" s="1"/>
      <c r="M538" s="431"/>
      <c r="N538" s="1"/>
      <c r="O538" s="1"/>
      <c r="Q538" s="1"/>
      <c r="W538" s="310"/>
      <c r="X538" s="310"/>
      <c r="Y538" s="310"/>
    </row>
    <row r="539" spans="1:25" ht="18.75" customHeight="1" x14ac:dyDescent="0.2">
      <c r="A539" s="444"/>
      <c r="B539" s="1"/>
      <c r="C539" s="1"/>
      <c r="D539" s="1"/>
      <c r="E539" s="1"/>
      <c r="F539" s="1"/>
      <c r="G539" s="445"/>
      <c r="H539" s="1"/>
      <c r="I539" s="446"/>
      <c r="J539" s="1"/>
      <c r="K539" s="1"/>
      <c r="L539" s="1"/>
      <c r="M539" s="431"/>
      <c r="N539" s="1"/>
      <c r="O539" s="1"/>
      <c r="Q539" s="1"/>
      <c r="W539" s="310"/>
      <c r="X539" s="310"/>
      <c r="Y539" s="310"/>
    </row>
    <row r="540" spans="1:25" ht="18.75" customHeight="1" x14ac:dyDescent="0.2">
      <c r="A540" s="444"/>
      <c r="B540" s="1"/>
      <c r="C540" s="1"/>
      <c r="D540" s="1"/>
      <c r="E540" s="1"/>
      <c r="F540" s="1"/>
      <c r="G540" s="445"/>
      <c r="H540" s="1"/>
      <c r="I540" s="446"/>
      <c r="J540" s="1"/>
      <c r="K540" s="1"/>
      <c r="L540" s="1"/>
      <c r="M540" s="431"/>
      <c r="N540" s="1"/>
      <c r="O540" s="1"/>
      <c r="Q540" s="1"/>
      <c r="W540" s="310"/>
      <c r="X540" s="310"/>
      <c r="Y540" s="310"/>
    </row>
    <row r="541" spans="1:25" ht="18.75" customHeight="1" x14ac:dyDescent="0.2">
      <c r="A541" s="444"/>
      <c r="B541" s="1"/>
      <c r="C541" s="1"/>
      <c r="D541" s="1"/>
      <c r="E541" s="1"/>
      <c r="F541" s="1"/>
      <c r="G541" s="445"/>
      <c r="H541" s="1"/>
      <c r="I541" s="446"/>
      <c r="J541" s="1"/>
      <c r="K541" s="1"/>
      <c r="L541" s="1"/>
      <c r="M541" s="431"/>
      <c r="N541" s="1"/>
      <c r="O541" s="1"/>
      <c r="Q541" s="1"/>
      <c r="W541" s="310"/>
      <c r="X541" s="310"/>
      <c r="Y541" s="310"/>
    </row>
    <row r="542" spans="1:25" ht="18.75" customHeight="1" x14ac:dyDescent="0.2">
      <c r="A542" s="444"/>
      <c r="B542" s="1"/>
      <c r="C542" s="1"/>
      <c r="D542" s="1"/>
      <c r="E542" s="1"/>
      <c r="F542" s="1"/>
      <c r="G542" s="445"/>
      <c r="H542" s="1"/>
      <c r="I542" s="446"/>
      <c r="J542" s="1"/>
      <c r="K542" s="1"/>
      <c r="L542" s="1"/>
      <c r="M542" s="431"/>
      <c r="N542" s="1"/>
      <c r="O542" s="1"/>
      <c r="Q542" s="1"/>
      <c r="W542" s="310"/>
      <c r="X542" s="310"/>
      <c r="Y542" s="310"/>
    </row>
    <row r="543" spans="1:25" ht="18.75" customHeight="1" x14ac:dyDescent="0.2">
      <c r="A543" s="444"/>
      <c r="B543" s="1"/>
      <c r="C543" s="1"/>
      <c r="D543" s="1"/>
      <c r="E543" s="1"/>
      <c r="F543" s="1"/>
      <c r="G543" s="445"/>
      <c r="H543" s="1"/>
      <c r="I543" s="446"/>
      <c r="J543" s="1"/>
      <c r="K543" s="1"/>
      <c r="L543" s="1"/>
      <c r="M543" s="431"/>
      <c r="N543" s="1"/>
      <c r="O543" s="1"/>
      <c r="Q543" s="1"/>
      <c r="W543" s="310"/>
      <c r="X543" s="310"/>
      <c r="Y543" s="310"/>
    </row>
    <row r="544" spans="1:25" ht="18.75" customHeight="1" x14ac:dyDescent="0.2">
      <c r="A544" s="444"/>
      <c r="B544" s="1"/>
      <c r="C544" s="1"/>
      <c r="D544" s="1"/>
      <c r="E544" s="1"/>
      <c r="F544" s="1"/>
      <c r="G544" s="445"/>
      <c r="H544" s="1"/>
      <c r="I544" s="446"/>
      <c r="J544" s="1"/>
      <c r="K544" s="1"/>
      <c r="L544" s="1"/>
      <c r="M544" s="431"/>
      <c r="N544" s="1"/>
      <c r="O544" s="1"/>
      <c r="Q544" s="1"/>
      <c r="W544" s="310"/>
      <c r="X544" s="310"/>
      <c r="Y544" s="310"/>
    </row>
    <row r="545" spans="1:25" ht="18.75" customHeight="1" x14ac:dyDescent="0.2">
      <c r="A545" s="444"/>
      <c r="B545" s="1"/>
      <c r="C545" s="1"/>
      <c r="D545" s="1"/>
      <c r="E545" s="1"/>
      <c r="F545" s="1"/>
      <c r="G545" s="445"/>
      <c r="H545" s="1"/>
      <c r="I545" s="446"/>
      <c r="J545" s="1"/>
      <c r="K545" s="1"/>
      <c r="L545" s="1"/>
      <c r="M545" s="431"/>
      <c r="N545" s="1"/>
      <c r="O545" s="1"/>
      <c r="Q545" s="1"/>
      <c r="W545" s="310"/>
      <c r="X545" s="310"/>
      <c r="Y545" s="310"/>
    </row>
    <row r="546" spans="1:25" ht="18.75" customHeight="1" x14ac:dyDescent="0.2">
      <c r="A546" s="444"/>
      <c r="B546" s="1"/>
      <c r="C546" s="1"/>
      <c r="D546" s="1"/>
      <c r="E546" s="1"/>
      <c r="F546" s="1"/>
      <c r="G546" s="445"/>
      <c r="H546" s="1"/>
      <c r="I546" s="446"/>
      <c r="J546" s="1"/>
      <c r="K546" s="1"/>
      <c r="L546" s="1"/>
      <c r="M546" s="431"/>
      <c r="N546" s="1"/>
      <c r="O546" s="1"/>
      <c r="Q546" s="1"/>
      <c r="W546" s="310"/>
      <c r="X546" s="310"/>
      <c r="Y546" s="310"/>
    </row>
    <row r="547" spans="1:25" ht="18.75" customHeight="1" x14ac:dyDescent="0.2">
      <c r="A547" s="444"/>
      <c r="B547" s="1"/>
      <c r="C547" s="1"/>
      <c r="D547" s="1"/>
      <c r="E547" s="1"/>
      <c r="F547" s="1"/>
      <c r="G547" s="445"/>
      <c r="H547" s="1"/>
      <c r="I547" s="446"/>
      <c r="J547" s="1"/>
      <c r="K547" s="1"/>
      <c r="L547" s="1"/>
      <c r="M547" s="431"/>
      <c r="N547" s="1"/>
      <c r="O547" s="1"/>
      <c r="Q547" s="1"/>
      <c r="W547" s="310"/>
      <c r="X547" s="310"/>
      <c r="Y547" s="310"/>
    </row>
    <row r="548" spans="1:25" ht="18.75" customHeight="1" x14ac:dyDescent="0.2">
      <c r="A548" s="444"/>
      <c r="B548" s="1"/>
      <c r="C548" s="1"/>
      <c r="D548" s="1"/>
      <c r="E548" s="1"/>
      <c r="F548" s="1"/>
      <c r="G548" s="445"/>
      <c r="H548" s="1"/>
      <c r="I548" s="446"/>
      <c r="J548" s="1"/>
      <c r="K548" s="1"/>
      <c r="L548" s="1"/>
      <c r="M548" s="431"/>
      <c r="N548" s="1"/>
      <c r="O548" s="1"/>
      <c r="Q548" s="1"/>
      <c r="W548" s="310"/>
      <c r="X548" s="310"/>
      <c r="Y548" s="310"/>
    </row>
    <row r="549" spans="1:25" ht="18.75" customHeight="1" x14ac:dyDescent="0.2">
      <c r="A549" s="444"/>
      <c r="B549" s="1"/>
      <c r="C549" s="1"/>
      <c r="D549" s="1"/>
      <c r="E549" s="1"/>
      <c r="F549" s="1"/>
      <c r="G549" s="445"/>
      <c r="H549" s="1"/>
      <c r="I549" s="446"/>
      <c r="J549" s="1"/>
      <c r="K549" s="1"/>
      <c r="L549" s="1"/>
      <c r="M549" s="431"/>
      <c r="N549" s="1"/>
      <c r="O549" s="1"/>
      <c r="Q549" s="1"/>
      <c r="W549" s="310"/>
      <c r="X549" s="310"/>
      <c r="Y549" s="310"/>
    </row>
    <row r="550" spans="1:25" ht="18.75" customHeight="1" x14ac:dyDescent="0.2">
      <c r="A550" s="444"/>
      <c r="B550" s="1"/>
      <c r="C550" s="1"/>
      <c r="D550" s="1"/>
      <c r="E550" s="1"/>
      <c r="F550" s="1"/>
      <c r="G550" s="445"/>
      <c r="H550" s="1"/>
      <c r="I550" s="446"/>
      <c r="J550" s="1"/>
      <c r="K550" s="1"/>
      <c r="L550" s="1"/>
      <c r="M550" s="431"/>
      <c r="N550" s="1"/>
      <c r="O550" s="1"/>
      <c r="Q550" s="1"/>
      <c r="W550" s="310"/>
      <c r="X550" s="310"/>
      <c r="Y550" s="310"/>
    </row>
    <row r="551" spans="1:25" ht="18.75" customHeight="1" x14ac:dyDescent="0.2">
      <c r="A551" s="444"/>
      <c r="B551" s="1"/>
      <c r="C551" s="1"/>
      <c r="D551" s="1"/>
      <c r="E551" s="1"/>
      <c r="F551" s="1"/>
      <c r="G551" s="445"/>
      <c r="H551" s="1"/>
      <c r="I551" s="446"/>
      <c r="J551" s="1"/>
      <c r="K551" s="1"/>
      <c r="L551" s="1"/>
      <c r="M551" s="431"/>
      <c r="N551" s="1"/>
      <c r="O551" s="1"/>
      <c r="Q551" s="1"/>
      <c r="W551" s="310"/>
      <c r="X551" s="310"/>
      <c r="Y551" s="310"/>
    </row>
    <row r="552" spans="1:25" ht="18.75" customHeight="1" x14ac:dyDescent="0.2">
      <c r="A552" s="444"/>
      <c r="B552" s="1"/>
      <c r="C552" s="1"/>
      <c r="D552" s="1"/>
      <c r="E552" s="1"/>
      <c r="F552" s="1"/>
      <c r="G552" s="445"/>
      <c r="H552" s="1"/>
      <c r="I552" s="446"/>
      <c r="J552" s="1"/>
      <c r="K552" s="1"/>
      <c r="L552" s="1"/>
      <c r="M552" s="431"/>
      <c r="N552" s="1"/>
      <c r="O552" s="1"/>
      <c r="Q552" s="1"/>
      <c r="W552" s="310"/>
      <c r="X552" s="310"/>
      <c r="Y552" s="310"/>
    </row>
    <row r="553" spans="1:25" ht="18.75" customHeight="1" x14ac:dyDescent="0.2">
      <c r="A553" s="444"/>
      <c r="B553" s="1"/>
      <c r="C553" s="1"/>
      <c r="D553" s="1"/>
      <c r="E553" s="1"/>
      <c r="F553" s="1"/>
      <c r="G553" s="445"/>
      <c r="H553" s="1"/>
      <c r="I553" s="446"/>
      <c r="J553" s="1"/>
      <c r="K553" s="1"/>
      <c r="L553" s="1"/>
      <c r="M553" s="431"/>
      <c r="N553" s="1"/>
      <c r="O553" s="1"/>
      <c r="Q553" s="1"/>
      <c r="W553" s="310"/>
      <c r="X553" s="310"/>
      <c r="Y553" s="310"/>
    </row>
    <row r="554" spans="1:25" ht="18.75" customHeight="1" x14ac:dyDescent="0.2">
      <c r="A554" s="444"/>
      <c r="B554" s="1"/>
      <c r="C554" s="1"/>
      <c r="D554" s="1"/>
      <c r="E554" s="1"/>
      <c r="F554" s="1"/>
      <c r="G554" s="445"/>
      <c r="H554" s="1"/>
      <c r="I554" s="446"/>
      <c r="J554" s="1"/>
      <c r="K554" s="1"/>
      <c r="L554" s="1"/>
      <c r="M554" s="431"/>
      <c r="N554" s="1"/>
      <c r="O554" s="1"/>
      <c r="Q554" s="1"/>
      <c r="W554" s="310"/>
      <c r="X554" s="310"/>
      <c r="Y554" s="310"/>
    </row>
    <row r="555" spans="1:25" ht="18.75" customHeight="1" x14ac:dyDescent="0.2">
      <c r="A555" s="444"/>
      <c r="B555" s="1"/>
      <c r="C555" s="1"/>
      <c r="D555" s="1"/>
      <c r="E555" s="1"/>
      <c r="F555" s="1"/>
      <c r="G555" s="445"/>
      <c r="H555" s="1"/>
      <c r="I555" s="446"/>
      <c r="J555" s="1"/>
      <c r="K555" s="1"/>
      <c r="L555" s="1"/>
      <c r="M555" s="431"/>
      <c r="N555" s="1"/>
      <c r="O555" s="1"/>
      <c r="Q555" s="1"/>
      <c r="W555" s="310"/>
      <c r="X555" s="310"/>
      <c r="Y555" s="310"/>
    </row>
    <row r="556" spans="1:25" ht="18.75" customHeight="1" x14ac:dyDescent="0.2">
      <c r="A556" s="444"/>
      <c r="B556" s="1"/>
      <c r="C556" s="1"/>
      <c r="D556" s="1"/>
      <c r="E556" s="1"/>
      <c r="F556" s="1"/>
      <c r="G556" s="445"/>
      <c r="H556" s="1"/>
      <c r="I556" s="446"/>
      <c r="J556" s="1"/>
      <c r="K556" s="1"/>
      <c r="L556" s="1"/>
      <c r="M556" s="431"/>
      <c r="N556" s="1"/>
      <c r="O556" s="1"/>
      <c r="Q556" s="1"/>
      <c r="W556" s="310"/>
      <c r="X556" s="310"/>
      <c r="Y556" s="310"/>
    </row>
    <row r="557" spans="1:25" ht="18.75" customHeight="1" x14ac:dyDescent="0.2">
      <c r="A557" s="444"/>
      <c r="B557" s="1"/>
      <c r="C557" s="1"/>
      <c r="D557" s="1"/>
      <c r="E557" s="1"/>
      <c r="F557" s="1"/>
      <c r="G557" s="445"/>
      <c r="H557" s="1"/>
      <c r="I557" s="446"/>
      <c r="J557" s="1"/>
      <c r="K557" s="1"/>
      <c r="L557" s="1"/>
      <c r="M557" s="431"/>
      <c r="N557" s="1"/>
      <c r="O557" s="1"/>
      <c r="Q557" s="1"/>
      <c r="W557" s="310"/>
      <c r="X557" s="310"/>
      <c r="Y557" s="310"/>
    </row>
    <row r="558" spans="1:25" ht="18.75" customHeight="1" x14ac:dyDescent="0.2">
      <c r="A558" s="444"/>
      <c r="B558" s="1"/>
      <c r="C558" s="1"/>
      <c r="D558" s="1"/>
      <c r="E558" s="1"/>
      <c r="F558" s="1"/>
      <c r="G558" s="445"/>
      <c r="H558" s="1"/>
      <c r="I558" s="446"/>
      <c r="J558" s="1"/>
      <c r="K558" s="1"/>
      <c r="L558" s="1"/>
      <c r="M558" s="431"/>
      <c r="N558" s="1"/>
      <c r="O558" s="1"/>
      <c r="Q558" s="1"/>
      <c r="W558" s="310"/>
      <c r="X558" s="310"/>
      <c r="Y558" s="310"/>
    </row>
    <row r="559" spans="1:25" ht="18.75" customHeight="1" x14ac:dyDescent="0.2">
      <c r="A559" s="444"/>
      <c r="B559" s="1"/>
      <c r="C559" s="1"/>
      <c r="D559" s="1"/>
      <c r="E559" s="1"/>
      <c r="F559" s="1"/>
      <c r="G559" s="445"/>
      <c r="H559" s="1"/>
      <c r="I559" s="446"/>
      <c r="J559" s="1"/>
      <c r="K559" s="1"/>
      <c r="L559" s="1"/>
      <c r="M559" s="431"/>
      <c r="N559" s="1"/>
      <c r="O559" s="1"/>
      <c r="Q559" s="1"/>
      <c r="W559" s="310"/>
      <c r="X559" s="310"/>
      <c r="Y559" s="310"/>
    </row>
    <row r="560" spans="1:25" ht="18.75" customHeight="1" x14ac:dyDescent="0.2">
      <c r="A560" s="444"/>
      <c r="B560" s="1"/>
      <c r="C560" s="1"/>
      <c r="D560" s="1"/>
      <c r="E560" s="1"/>
      <c r="F560" s="1"/>
      <c r="G560" s="445"/>
      <c r="H560" s="1"/>
      <c r="I560" s="446"/>
      <c r="J560" s="1"/>
      <c r="K560" s="1"/>
      <c r="L560" s="1"/>
      <c r="M560" s="431"/>
      <c r="N560" s="1"/>
      <c r="O560" s="1"/>
      <c r="Q560" s="1"/>
      <c r="W560" s="310"/>
      <c r="X560" s="310"/>
      <c r="Y560" s="310"/>
    </row>
    <row r="561" spans="1:25" ht="18.75" customHeight="1" x14ac:dyDescent="0.2">
      <c r="A561" s="444"/>
      <c r="B561" s="1"/>
      <c r="C561" s="1"/>
      <c r="D561" s="1"/>
      <c r="E561" s="1"/>
      <c r="F561" s="1"/>
      <c r="G561" s="445"/>
      <c r="H561" s="1"/>
      <c r="I561" s="446"/>
      <c r="J561" s="1"/>
      <c r="K561" s="1"/>
      <c r="L561" s="1"/>
      <c r="M561" s="431"/>
      <c r="N561" s="1"/>
      <c r="O561" s="1"/>
      <c r="Q561" s="1"/>
      <c r="W561" s="310"/>
      <c r="X561" s="310"/>
      <c r="Y561" s="310"/>
    </row>
    <row r="562" spans="1:25" ht="18.75" customHeight="1" x14ac:dyDescent="0.2">
      <c r="A562" s="444"/>
      <c r="B562" s="1"/>
      <c r="C562" s="1"/>
      <c r="D562" s="1"/>
      <c r="E562" s="1"/>
      <c r="F562" s="1"/>
      <c r="G562" s="445"/>
      <c r="H562" s="1"/>
      <c r="I562" s="446"/>
      <c r="J562" s="1"/>
      <c r="K562" s="1"/>
      <c r="L562" s="1"/>
      <c r="M562" s="431"/>
      <c r="N562" s="1"/>
      <c r="O562" s="1"/>
      <c r="Q562" s="1"/>
      <c r="W562" s="310"/>
      <c r="X562" s="310"/>
      <c r="Y562" s="310"/>
    </row>
    <row r="563" spans="1:25" ht="18.75" customHeight="1" x14ac:dyDescent="0.2">
      <c r="A563" s="444"/>
      <c r="B563" s="1"/>
      <c r="C563" s="1"/>
      <c r="D563" s="1"/>
      <c r="E563" s="1"/>
      <c r="F563" s="1"/>
      <c r="G563" s="445"/>
      <c r="H563" s="1"/>
      <c r="I563" s="446"/>
      <c r="J563" s="1"/>
      <c r="K563" s="1"/>
      <c r="L563" s="1"/>
      <c r="M563" s="431"/>
      <c r="N563" s="1"/>
      <c r="O563" s="1"/>
      <c r="Q563" s="1"/>
      <c r="W563" s="310"/>
      <c r="X563" s="310"/>
      <c r="Y563" s="310"/>
    </row>
    <row r="564" spans="1:25" ht="18.75" customHeight="1" x14ac:dyDescent="0.2">
      <c r="A564" s="444"/>
      <c r="B564" s="1"/>
      <c r="C564" s="1"/>
      <c r="D564" s="1"/>
      <c r="E564" s="1"/>
      <c r="F564" s="1"/>
      <c r="G564" s="445"/>
      <c r="H564" s="1"/>
      <c r="I564" s="446"/>
      <c r="J564" s="1"/>
      <c r="K564" s="1"/>
      <c r="L564" s="1"/>
      <c r="M564" s="431"/>
      <c r="N564" s="1"/>
      <c r="O564" s="1"/>
      <c r="Q564" s="1"/>
      <c r="W564" s="310"/>
      <c r="X564" s="310"/>
      <c r="Y564" s="310"/>
    </row>
    <row r="565" spans="1:25" ht="18.75" customHeight="1" x14ac:dyDescent="0.2">
      <c r="A565" s="444"/>
      <c r="B565" s="1"/>
      <c r="C565" s="1"/>
      <c r="D565" s="1"/>
      <c r="E565" s="1"/>
      <c r="F565" s="1"/>
      <c r="G565" s="445"/>
      <c r="H565" s="1"/>
      <c r="I565" s="446"/>
      <c r="J565" s="1"/>
      <c r="K565" s="1"/>
      <c r="L565" s="1"/>
      <c r="M565" s="431"/>
      <c r="N565" s="1"/>
      <c r="O565" s="1"/>
      <c r="Q565" s="1"/>
      <c r="W565" s="310"/>
      <c r="X565" s="310"/>
      <c r="Y565" s="310"/>
    </row>
    <row r="566" spans="1:25" ht="18.75" customHeight="1" x14ac:dyDescent="0.2">
      <c r="A566" s="444"/>
      <c r="B566" s="1"/>
      <c r="C566" s="1"/>
      <c r="D566" s="1"/>
      <c r="E566" s="1"/>
      <c r="F566" s="1"/>
      <c r="G566" s="445"/>
      <c r="H566" s="1"/>
      <c r="I566" s="446"/>
      <c r="J566" s="1"/>
      <c r="K566" s="1"/>
      <c r="L566" s="1"/>
      <c r="M566" s="431"/>
      <c r="N566" s="1"/>
      <c r="O566" s="1"/>
      <c r="Q566" s="1"/>
      <c r="W566" s="310"/>
      <c r="X566" s="310"/>
      <c r="Y566" s="310"/>
    </row>
    <row r="567" spans="1:25" ht="18.75" customHeight="1" x14ac:dyDescent="0.2">
      <c r="A567" s="444"/>
      <c r="B567" s="1"/>
      <c r="C567" s="1"/>
      <c r="D567" s="1"/>
      <c r="E567" s="1"/>
      <c r="F567" s="1"/>
      <c r="G567" s="445"/>
      <c r="H567" s="1"/>
      <c r="I567" s="446"/>
      <c r="J567" s="1"/>
      <c r="K567" s="1"/>
      <c r="L567" s="1"/>
      <c r="M567" s="431"/>
      <c r="N567" s="1"/>
      <c r="O567" s="1"/>
      <c r="Q567" s="1"/>
      <c r="W567" s="310"/>
      <c r="X567" s="310"/>
      <c r="Y567" s="310"/>
    </row>
    <row r="568" spans="1:25" ht="18.75" customHeight="1" x14ac:dyDescent="0.2">
      <c r="A568" s="444"/>
      <c r="B568" s="1"/>
      <c r="C568" s="1"/>
      <c r="D568" s="1"/>
      <c r="E568" s="1"/>
      <c r="F568" s="1"/>
      <c r="G568" s="445"/>
      <c r="H568" s="1"/>
      <c r="I568" s="446"/>
      <c r="J568" s="1"/>
      <c r="K568" s="1"/>
      <c r="L568" s="1"/>
      <c r="M568" s="431"/>
      <c r="N568" s="1"/>
      <c r="O568" s="1"/>
      <c r="Q568" s="1"/>
      <c r="W568" s="310"/>
      <c r="X568" s="310"/>
      <c r="Y568" s="310"/>
    </row>
    <row r="569" spans="1:25" ht="18.75" customHeight="1" x14ac:dyDescent="0.2">
      <c r="A569" s="444"/>
      <c r="B569" s="1"/>
      <c r="C569" s="1"/>
      <c r="D569" s="1"/>
      <c r="E569" s="1"/>
      <c r="F569" s="1"/>
      <c r="G569" s="445"/>
      <c r="H569" s="1"/>
      <c r="I569" s="446"/>
      <c r="J569" s="1"/>
      <c r="K569" s="1"/>
      <c r="L569" s="1"/>
      <c r="M569" s="431"/>
      <c r="N569" s="1"/>
      <c r="O569" s="1"/>
      <c r="Q569" s="1"/>
      <c r="W569" s="310"/>
      <c r="X569" s="310"/>
      <c r="Y569" s="310"/>
    </row>
    <row r="570" spans="1:25" ht="18.75" customHeight="1" x14ac:dyDescent="0.2">
      <c r="A570" s="444"/>
      <c r="B570" s="1"/>
      <c r="C570" s="1"/>
      <c r="D570" s="1"/>
      <c r="E570" s="1"/>
      <c r="F570" s="1"/>
      <c r="G570" s="445"/>
      <c r="H570" s="1"/>
      <c r="I570" s="446"/>
      <c r="J570" s="1"/>
      <c r="K570" s="1"/>
      <c r="L570" s="1"/>
      <c r="M570" s="431"/>
      <c r="N570" s="1"/>
      <c r="O570" s="1"/>
      <c r="Q570" s="1"/>
      <c r="W570" s="310"/>
      <c r="X570" s="310"/>
      <c r="Y570" s="310"/>
    </row>
    <row r="571" spans="1:25" ht="18.75" customHeight="1" x14ac:dyDescent="0.2">
      <c r="A571" s="444"/>
      <c r="B571" s="1"/>
      <c r="C571" s="1"/>
      <c r="D571" s="1"/>
      <c r="E571" s="1"/>
      <c r="F571" s="1"/>
      <c r="G571" s="445"/>
      <c r="H571" s="1"/>
      <c r="I571" s="446"/>
      <c r="J571" s="1"/>
      <c r="K571" s="1"/>
      <c r="L571" s="1"/>
      <c r="M571" s="431"/>
      <c r="N571" s="1"/>
      <c r="O571" s="1"/>
      <c r="Q571" s="1"/>
      <c r="W571" s="310"/>
      <c r="X571" s="310"/>
      <c r="Y571" s="310"/>
    </row>
    <row r="572" spans="1:25" ht="18.75" customHeight="1" x14ac:dyDescent="0.2">
      <c r="A572" s="444"/>
      <c r="B572" s="1"/>
      <c r="C572" s="1"/>
      <c r="D572" s="1"/>
      <c r="E572" s="1"/>
      <c r="F572" s="1"/>
      <c r="G572" s="445"/>
      <c r="H572" s="1"/>
      <c r="I572" s="446"/>
      <c r="J572" s="1"/>
      <c r="K572" s="1"/>
      <c r="L572" s="1"/>
      <c r="M572" s="431"/>
      <c r="N572" s="1"/>
      <c r="O572" s="1"/>
      <c r="Q572" s="1"/>
      <c r="W572" s="310"/>
      <c r="X572" s="310"/>
      <c r="Y572" s="310"/>
    </row>
    <row r="573" spans="1:25" ht="18.75" customHeight="1" x14ac:dyDescent="0.2">
      <c r="A573" s="444"/>
      <c r="B573" s="1"/>
      <c r="C573" s="1"/>
      <c r="D573" s="1"/>
      <c r="E573" s="1"/>
      <c r="F573" s="1"/>
      <c r="G573" s="445"/>
      <c r="H573" s="1"/>
      <c r="I573" s="446"/>
      <c r="J573" s="1"/>
      <c r="K573" s="1"/>
      <c r="L573" s="1"/>
      <c r="M573" s="431"/>
      <c r="N573" s="1"/>
      <c r="O573" s="1"/>
      <c r="Q573" s="1"/>
      <c r="W573" s="310"/>
      <c r="X573" s="310"/>
      <c r="Y573" s="310"/>
    </row>
    <row r="574" spans="1:25" ht="18.75" customHeight="1" x14ac:dyDescent="0.2">
      <c r="A574" s="444"/>
      <c r="B574" s="1"/>
      <c r="C574" s="1"/>
      <c r="D574" s="1"/>
      <c r="E574" s="1"/>
      <c r="F574" s="1"/>
      <c r="G574" s="445"/>
      <c r="H574" s="1"/>
      <c r="I574" s="446"/>
      <c r="J574" s="1"/>
      <c r="K574" s="1"/>
      <c r="L574" s="1"/>
      <c r="M574" s="431"/>
      <c r="N574" s="1"/>
      <c r="O574" s="1"/>
      <c r="Q574" s="1"/>
      <c r="W574" s="310"/>
      <c r="X574" s="310"/>
      <c r="Y574" s="310"/>
    </row>
    <row r="575" spans="1:25" ht="18.75" customHeight="1" x14ac:dyDescent="0.2">
      <c r="A575" s="444"/>
      <c r="B575" s="1"/>
      <c r="C575" s="1"/>
      <c r="D575" s="1"/>
      <c r="E575" s="1"/>
      <c r="F575" s="1"/>
      <c r="G575" s="445"/>
      <c r="H575" s="1"/>
      <c r="I575" s="446"/>
      <c r="J575" s="1"/>
      <c r="K575" s="1"/>
      <c r="L575" s="1"/>
      <c r="M575" s="431"/>
      <c r="N575" s="1"/>
      <c r="O575" s="1"/>
      <c r="Q575" s="1"/>
      <c r="W575" s="310"/>
      <c r="X575" s="310"/>
      <c r="Y575" s="310"/>
    </row>
    <row r="576" spans="1:25" ht="18.75" customHeight="1" x14ac:dyDescent="0.2">
      <c r="A576" s="444"/>
      <c r="B576" s="1"/>
      <c r="C576" s="1"/>
      <c r="D576" s="1"/>
      <c r="E576" s="1"/>
      <c r="F576" s="1"/>
      <c r="G576" s="445"/>
      <c r="H576" s="1"/>
      <c r="I576" s="446"/>
      <c r="J576" s="1"/>
      <c r="K576" s="1"/>
      <c r="L576" s="1"/>
      <c r="M576" s="431"/>
      <c r="N576" s="1"/>
      <c r="O576" s="1"/>
      <c r="Q576" s="1"/>
      <c r="W576" s="310"/>
      <c r="X576" s="310"/>
      <c r="Y576" s="310"/>
    </row>
    <row r="577" spans="1:25" ht="18.75" customHeight="1" x14ac:dyDescent="0.2">
      <c r="A577" s="444"/>
      <c r="B577" s="1"/>
      <c r="C577" s="1"/>
      <c r="D577" s="1"/>
      <c r="E577" s="1"/>
      <c r="F577" s="1"/>
      <c r="G577" s="445"/>
      <c r="H577" s="1"/>
      <c r="I577" s="446"/>
      <c r="J577" s="1"/>
      <c r="K577" s="1"/>
      <c r="L577" s="1"/>
      <c r="M577" s="431"/>
      <c r="N577" s="1"/>
      <c r="O577" s="1"/>
      <c r="Q577" s="1"/>
      <c r="W577" s="310"/>
      <c r="X577" s="310"/>
      <c r="Y577" s="310"/>
    </row>
    <row r="578" spans="1:25" ht="18.75" customHeight="1" x14ac:dyDescent="0.2">
      <c r="A578" s="444"/>
      <c r="B578" s="1"/>
      <c r="C578" s="1"/>
      <c r="D578" s="1"/>
      <c r="E578" s="1"/>
      <c r="F578" s="1"/>
      <c r="G578" s="445"/>
      <c r="H578" s="1"/>
      <c r="I578" s="446"/>
      <c r="J578" s="1"/>
      <c r="K578" s="1"/>
      <c r="L578" s="1"/>
      <c r="M578" s="431"/>
      <c r="N578" s="1"/>
      <c r="O578" s="1"/>
      <c r="Q578" s="1"/>
      <c r="W578" s="310"/>
      <c r="X578" s="310"/>
      <c r="Y578" s="310"/>
    </row>
    <row r="579" spans="1:25" ht="18.75" customHeight="1" x14ac:dyDescent="0.2">
      <c r="A579" s="444"/>
      <c r="B579" s="1"/>
      <c r="C579" s="1"/>
      <c r="D579" s="1"/>
      <c r="E579" s="1"/>
      <c r="F579" s="1"/>
      <c r="G579" s="445"/>
      <c r="H579" s="1"/>
      <c r="I579" s="446"/>
      <c r="J579" s="1"/>
      <c r="K579" s="1"/>
      <c r="L579" s="1"/>
      <c r="M579" s="431"/>
      <c r="N579" s="1"/>
      <c r="O579" s="1"/>
      <c r="Q579" s="1"/>
      <c r="W579" s="310"/>
      <c r="X579" s="310"/>
      <c r="Y579" s="310"/>
    </row>
    <row r="580" spans="1:25" ht="18.75" customHeight="1" x14ac:dyDescent="0.2">
      <c r="A580" s="444"/>
      <c r="B580" s="1"/>
      <c r="C580" s="1"/>
      <c r="D580" s="1"/>
      <c r="E580" s="1"/>
      <c r="F580" s="1"/>
      <c r="G580" s="445"/>
      <c r="H580" s="1"/>
      <c r="I580" s="446"/>
      <c r="J580" s="1"/>
      <c r="K580" s="1"/>
      <c r="L580" s="1"/>
      <c r="M580" s="431"/>
      <c r="N580" s="1"/>
      <c r="O580" s="1"/>
      <c r="Q580" s="1"/>
      <c r="W580" s="310"/>
      <c r="X580" s="310"/>
      <c r="Y580" s="310"/>
    </row>
    <row r="581" spans="1:25" ht="18.75" customHeight="1" x14ac:dyDescent="0.2">
      <c r="A581" s="444"/>
      <c r="B581" s="1"/>
      <c r="C581" s="1"/>
      <c r="D581" s="1"/>
      <c r="E581" s="1"/>
      <c r="F581" s="1"/>
      <c r="G581" s="445"/>
      <c r="H581" s="1"/>
      <c r="I581" s="446"/>
      <c r="J581" s="1"/>
      <c r="K581" s="1"/>
      <c r="L581" s="1"/>
      <c r="M581" s="431"/>
      <c r="N581" s="1"/>
      <c r="O581" s="1"/>
      <c r="Q581" s="1"/>
      <c r="W581" s="310"/>
      <c r="X581" s="310"/>
      <c r="Y581" s="310"/>
    </row>
    <row r="582" spans="1:25" ht="18.75" customHeight="1" x14ac:dyDescent="0.2">
      <c r="A582" s="444"/>
      <c r="B582" s="1"/>
      <c r="C582" s="1"/>
      <c r="D582" s="1"/>
      <c r="E582" s="1"/>
      <c r="F582" s="1"/>
      <c r="G582" s="445"/>
      <c r="H582" s="1"/>
      <c r="I582" s="446"/>
      <c r="J582" s="1"/>
      <c r="K582" s="1"/>
      <c r="L582" s="1"/>
      <c r="M582" s="431"/>
      <c r="N582" s="1"/>
      <c r="O582" s="1"/>
      <c r="Q582" s="1"/>
      <c r="W582" s="310"/>
      <c r="X582" s="310"/>
      <c r="Y582" s="310"/>
    </row>
    <row r="583" spans="1:25" ht="18.75" customHeight="1" x14ac:dyDescent="0.2">
      <c r="A583" s="444"/>
      <c r="B583" s="1"/>
      <c r="C583" s="1"/>
      <c r="D583" s="1"/>
      <c r="E583" s="1"/>
      <c r="F583" s="1"/>
      <c r="G583" s="445"/>
      <c r="H583" s="1"/>
      <c r="I583" s="446"/>
      <c r="J583" s="1"/>
      <c r="K583" s="1"/>
      <c r="L583" s="1"/>
      <c r="M583" s="431"/>
      <c r="N583" s="1"/>
      <c r="O583" s="1"/>
      <c r="Q583" s="1"/>
      <c r="W583" s="310"/>
      <c r="X583" s="310"/>
      <c r="Y583" s="310"/>
    </row>
    <row r="584" spans="1:25" ht="18.75" customHeight="1" x14ac:dyDescent="0.2">
      <c r="A584" s="444"/>
      <c r="B584" s="1"/>
      <c r="C584" s="1"/>
      <c r="D584" s="1"/>
      <c r="E584" s="1"/>
      <c r="F584" s="1"/>
      <c r="G584" s="445"/>
      <c r="H584" s="1"/>
      <c r="I584" s="446"/>
      <c r="J584" s="1"/>
      <c r="K584" s="1"/>
      <c r="L584" s="1"/>
      <c r="M584" s="431"/>
      <c r="N584" s="1"/>
      <c r="O584" s="1"/>
      <c r="Q584" s="1"/>
      <c r="W584" s="310"/>
      <c r="X584" s="310"/>
      <c r="Y584" s="310"/>
    </row>
    <row r="585" spans="1:25" ht="18.75" customHeight="1" x14ac:dyDescent="0.2">
      <c r="A585" s="444"/>
      <c r="B585" s="1"/>
      <c r="C585" s="1"/>
      <c r="D585" s="1"/>
      <c r="E585" s="1"/>
      <c r="F585" s="1"/>
      <c r="G585" s="445"/>
      <c r="H585" s="1"/>
      <c r="I585" s="446"/>
      <c r="J585" s="1"/>
      <c r="K585" s="1"/>
      <c r="L585" s="1"/>
      <c r="M585" s="431"/>
      <c r="N585" s="1"/>
      <c r="O585" s="1"/>
      <c r="Q585" s="1"/>
      <c r="W585" s="310"/>
      <c r="X585" s="310"/>
      <c r="Y585" s="310"/>
    </row>
    <row r="586" spans="1:25" ht="18.75" customHeight="1" x14ac:dyDescent="0.2">
      <c r="A586" s="444"/>
      <c r="B586" s="1"/>
      <c r="C586" s="1"/>
      <c r="D586" s="1"/>
      <c r="E586" s="1"/>
      <c r="F586" s="1"/>
      <c r="G586" s="445"/>
      <c r="H586" s="1"/>
      <c r="I586" s="446"/>
      <c r="J586" s="1"/>
      <c r="K586" s="1"/>
      <c r="L586" s="1"/>
      <c r="M586" s="431"/>
      <c r="N586" s="1"/>
      <c r="O586" s="1"/>
      <c r="Q586" s="1"/>
      <c r="W586" s="310"/>
      <c r="X586" s="310"/>
      <c r="Y586" s="310"/>
    </row>
    <row r="587" spans="1:25" ht="18.75" customHeight="1" x14ac:dyDescent="0.2">
      <c r="A587" s="444"/>
      <c r="B587" s="1"/>
      <c r="C587" s="1"/>
      <c r="D587" s="1"/>
      <c r="E587" s="1"/>
      <c r="F587" s="1"/>
      <c r="G587" s="445"/>
      <c r="H587" s="1"/>
      <c r="I587" s="446"/>
      <c r="J587" s="1"/>
      <c r="K587" s="1"/>
      <c r="L587" s="1"/>
      <c r="M587" s="431"/>
      <c r="N587" s="1"/>
      <c r="O587" s="1"/>
      <c r="Q587" s="1"/>
      <c r="W587" s="310"/>
      <c r="X587" s="310"/>
      <c r="Y587" s="310"/>
    </row>
    <row r="588" spans="1:25" ht="18.75" customHeight="1" x14ac:dyDescent="0.2">
      <c r="A588" s="444"/>
      <c r="B588" s="1"/>
      <c r="C588" s="1"/>
      <c r="D588" s="1"/>
      <c r="E588" s="1"/>
      <c r="F588" s="1"/>
      <c r="G588" s="445"/>
      <c r="H588" s="1"/>
      <c r="I588" s="446"/>
      <c r="J588" s="1"/>
      <c r="K588" s="1"/>
      <c r="L588" s="1"/>
      <c r="M588" s="431"/>
      <c r="N588" s="1"/>
      <c r="O588" s="1"/>
      <c r="Q588" s="1"/>
      <c r="W588" s="310"/>
      <c r="X588" s="310"/>
      <c r="Y588" s="310"/>
    </row>
    <row r="589" spans="1:25" ht="18.75" customHeight="1" x14ac:dyDescent="0.2">
      <c r="A589" s="444"/>
      <c r="B589" s="1"/>
      <c r="C589" s="1"/>
      <c r="D589" s="1"/>
      <c r="E589" s="1"/>
      <c r="F589" s="1"/>
      <c r="G589" s="445"/>
      <c r="H589" s="1"/>
      <c r="I589" s="446"/>
      <c r="J589" s="1"/>
      <c r="K589" s="1"/>
      <c r="L589" s="1"/>
      <c r="M589" s="431"/>
      <c r="N589" s="1"/>
      <c r="O589" s="1"/>
      <c r="Q589" s="1"/>
      <c r="W589" s="310"/>
      <c r="X589" s="310"/>
      <c r="Y589" s="310"/>
    </row>
    <row r="590" spans="1:25" ht="18.75" customHeight="1" x14ac:dyDescent="0.2">
      <c r="A590" s="444"/>
      <c r="B590" s="1"/>
      <c r="C590" s="1"/>
      <c r="D590" s="1"/>
      <c r="E590" s="1"/>
      <c r="F590" s="1"/>
      <c r="G590" s="445"/>
      <c r="H590" s="1"/>
      <c r="I590" s="446"/>
      <c r="J590" s="1"/>
      <c r="K590" s="1"/>
      <c r="L590" s="1"/>
      <c r="M590" s="431"/>
      <c r="N590" s="1"/>
      <c r="O590" s="1"/>
      <c r="Q590" s="1"/>
      <c r="W590" s="310"/>
      <c r="X590" s="310"/>
      <c r="Y590" s="310"/>
    </row>
    <row r="591" spans="1:25" ht="18.75" customHeight="1" x14ac:dyDescent="0.2">
      <c r="A591" s="444"/>
      <c r="B591" s="1"/>
      <c r="C591" s="1"/>
      <c r="D591" s="1"/>
      <c r="E591" s="1"/>
      <c r="F591" s="1"/>
      <c r="G591" s="445"/>
      <c r="H591" s="1"/>
      <c r="I591" s="446"/>
      <c r="J591" s="1"/>
      <c r="K591" s="1"/>
      <c r="L591" s="1"/>
      <c r="M591" s="431"/>
      <c r="N591" s="1"/>
      <c r="O591" s="1"/>
      <c r="Q591" s="1"/>
      <c r="W591" s="310"/>
      <c r="X591" s="310"/>
      <c r="Y591" s="310"/>
    </row>
    <row r="592" spans="1:25" ht="18.75" customHeight="1" x14ac:dyDescent="0.2">
      <c r="A592" s="444"/>
      <c r="B592" s="1"/>
      <c r="C592" s="1"/>
      <c r="D592" s="1"/>
      <c r="E592" s="1"/>
      <c r="F592" s="1"/>
      <c r="G592" s="445"/>
      <c r="H592" s="1"/>
      <c r="I592" s="446"/>
      <c r="J592" s="1"/>
      <c r="K592" s="1"/>
      <c r="L592" s="1"/>
      <c r="M592" s="431"/>
      <c r="N592" s="1"/>
      <c r="O592" s="1"/>
      <c r="Q592" s="1"/>
      <c r="W592" s="310"/>
      <c r="X592" s="310"/>
      <c r="Y592" s="310"/>
    </row>
    <row r="593" spans="1:25" ht="18.75" customHeight="1" x14ac:dyDescent="0.2">
      <c r="A593" s="444"/>
      <c r="B593" s="1"/>
      <c r="C593" s="1"/>
      <c r="D593" s="1"/>
      <c r="E593" s="1"/>
      <c r="F593" s="1"/>
      <c r="G593" s="445"/>
      <c r="H593" s="1"/>
      <c r="I593" s="446"/>
      <c r="J593" s="1"/>
      <c r="K593" s="1"/>
      <c r="L593" s="1"/>
      <c r="M593" s="431"/>
      <c r="N593" s="1"/>
      <c r="O593" s="1"/>
      <c r="Q593" s="1"/>
      <c r="W593" s="310"/>
      <c r="X593" s="310"/>
      <c r="Y593" s="310"/>
    </row>
    <row r="594" spans="1:25" ht="18.75" customHeight="1" x14ac:dyDescent="0.2">
      <c r="A594" s="444"/>
      <c r="B594" s="1"/>
      <c r="C594" s="1"/>
      <c r="D594" s="1"/>
      <c r="E594" s="1"/>
      <c r="F594" s="1"/>
      <c r="G594" s="445"/>
      <c r="H594" s="1"/>
      <c r="I594" s="446"/>
      <c r="J594" s="1"/>
      <c r="K594" s="1"/>
      <c r="L594" s="1"/>
      <c r="M594" s="431"/>
      <c r="N594" s="1"/>
      <c r="O594" s="1"/>
      <c r="Q594" s="1"/>
      <c r="W594" s="310"/>
      <c r="X594" s="310"/>
      <c r="Y594" s="310"/>
    </row>
    <row r="595" spans="1:25" ht="18.75" customHeight="1" x14ac:dyDescent="0.2">
      <c r="A595" s="444"/>
      <c r="B595" s="1"/>
      <c r="C595" s="1"/>
      <c r="D595" s="1"/>
      <c r="E595" s="1"/>
      <c r="F595" s="1"/>
      <c r="G595" s="445"/>
      <c r="H595" s="1"/>
      <c r="I595" s="446"/>
      <c r="J595" s="1"/>
      <c r="K595" s="1"/>
      <c r="L595" s="1"/>
      <c r="M595" s="431"/>
      <c r="N595" s="1"/>
      <c r="O595" s="1"/>
      <c r="Q595" s="1"/>
      <c r="W595" s="310"/>
      <c r="X595" s="310"/>
      <c r="Y595" s="310"/>
    </row>
    <row r="596" spans="1:25" ht="18.75" customHeight="1" x14ac:dyDescent="0.2">
      <c r="A596" s="444"/>
      <c r="B596" s="1"/>
      <c r="C596" s="1"/>
      <c r="D596" s="1"/>
      <c r="E596" s="1"/>
      <c r="F596" s="1"/>
      <c r="G596" s="445"/>
      <c r="H596" s="1"/>
      <c r="I596" s="446"/>
      <c r="J596" s="1"/>
      <c r="K596" s="1"/>
      <c r="L596" s="1"/>
      <c r="M596" s="431"/>
      <c r="N596" s="1"/>
      <c r="O596" s="1"/>
      <c r="Q596" s="1"/>
      <c r="W596" s="310"/>
      <c r="X596" s="310"/>
      <c r="Y596" s="310"/>
    </row>
    <row r="597" spans="1:25" ht="18.75" customHeight="1" x14ac:dyDescent="0.2">
      <c r="A597" s="444"/>
      <c r="B597" s="1"/>
      <c r="C597" s="1"/>
      <c r="D597" s="1"/>
      <c r="E597" s="1"/>
      <c r="F597" s="1"/>
      <c r="G597" s="445"/>
      <c r="H597" s="1"/>
      <c r="I597" s="446"/>
      <c r="J597" s="1"/>
      <c r="K597" s="1"/>
      <c r="L597" s="1"/>
      <c r="M597" s="431"/>
      <c r="N597" s="1"/>
      <c r="O597" s="1"/>
      <c r="Q597" s="1"/>
      <c r="W597" s="310"/>
      <c r="X597" s="310"/>
      <c r="Y597" s="310"/>
    </row>
    <row r="598" spans="1:25" ht="18.75" customHeight="1" x14ac:dyDescent="0.2">
      <c r="A598" s="444"/>
      <c r="B598" s="1"/>
      <c r="C598" s="1"/>
      <c r="D598" s="1"/>
      <c r="E598" s="1"/>
      <c r="F598" s="1"/>
      <c r="G598" s="445"/>
      <c r="H598" s="1"/>
      <c r="I598" s="446"/>
      <c r="J598" s="1"/>
      <c r="K598" s="1"/>
      <c r="L598" s="1"/>
      <c r="M598" s="431"/>
      <c r="N598" s="1"/>
      <c r="O598" s="1"/>
      <c r="Q598" s="1"/>
      <c r="W598" s="310"/>
      <c r="X598" s="310"/>
      <c r="Y598" s="310"/>
    </row>
    <row r="599" spans="1:25" ht="18.75" customHeight="1" x14ac:dyDescent="0.2">
      <c r="A599" s="444"/>
      <c r="B599" s="1"/>
      <c r="C599" s="1"/>
      <c r="D599" s="1"/>
      <c r="E599" s="1"/>
      <c r="F599" s="1"/>
      <c r="G599" s="445"/>
      <c r="H599" s="1"/>
      <c r="I599" s="446"/>
      <c r="J599" s="1"/>
      <c r="K599" s="1"/>
      <c r="L599" s="1"/>
      <c r="M599" s="431"/>
      <c r="N599" s="1"/>
      <c r="O599" s="1"/>
      <c r="Q599" s="1"/>
      <c r="W599" s="310"/>
      <c r="X599" s="310"/>
      <c r="Y599" s="310"/>
    </row>
    <row r="600" spans="1:25" ht="18.75" customHeight="1" x14ac:dyDescent="0.2">
      <c r="A600" s="444"/>
      <c r="B600" s="1"/>
      <c r="C600" s="1"/>
      <c r="D600" s="1"/>
      <c r="E600" s="1"/>
      <c r="F600" s="1"/>
      <c r="G600" s="445"/>
      <c r="H600" s="1"/>
      <c r="I600" s="446"/>
      <c r="J600" s="1"/>
      <c r="K600" s="1"/>
      <c r="L600" s="1"/>
      <c r="M600" s="431"/>
      <c r="N600" s="1"/>
      <c r="O600" s="1"/>
      <c r="Q600" s="1"/>
      <c r="W600" s="310"/>
      <c r="X600" s="310"/>
      <c r="Y600" s="310"/>
    </row>
    <row r="601" spans="1:25" ht="18.75" customHeight="1" x14ac:dyDescent="0.2">
      <c r="A601" s="444"/>
      <c r="B601" s="1"/>
      <c r="C601" s="1"/>
      <c r="D601" s="1"/>
      <c r="E601" s="1"/>
      <c r="F601" s="1"/>
      <c r="G601" s="445"/>
      <c r="H601" s="1"/>
      <c r="I601" s="446"/>
      <c r="J601" s="1"/>
      <c r="K601" s="1"/>
      <c r="L601" s="1"/>
      <c r="M601" s="431"/>
      <c r="N601" s="1"/>
      <c r="O601" s="1"/>
      <c r="Q601" s="1"/>
      <c r="W601" s="310"/>
      <c r="X601" s="310"/>
      <c r="Y601" s="310"/>
    </row>
    <row r="602" spans="1:25" ht="18.75" customHeight="1" x14ac:dyDescent="0.2">
      <c r="A602" s="444"/>
      <c r="B602" s="1"/>
      <c r="C602" s="1"/>
      <c r="D602" s="1"/>
      <c r="E602" s="1"/>
      <c r="F602" s="1"/>
      <c r="G602" s="445"/>
      <c r="H602" s="1"/>
      <c r="I602" s="446"/>
      <c r="J602" s="1"/>
      <c r="K602" s="1"/>
      <c r="L602" s="1"/>
      <c r="M602" s="431"/>
      <c r="N602" s="1"/>
      <c r="O602" s="1"/>
      <c r="Q602" s="1"/>
      <c r="W602" s="310"/>
      <c r="X602" s="310"/>
      <c r="Y602" s="310"/>
    </row>
    <row r="603" spans="1:25" ht="18.75" customHeight="1" x14ac:dyDescent="0.2">
      <c r="A603" s="444"/>
      <c r="B603" s="1"/>
      <c r="C603" s="1"/>
      <c r="D603" s="1"/>
      <c r="E603" s="1"/>
      <c r="F603" s="1"/>
      <c r="G603" s="445"/>
      <c r="H603" s="1"/>
      <c r="I603" s="446"/>
      <c r="J603" s="1"/>
      <c r="K603" s="1"/>
      <c r="L603" s="1"/>
      <c r="M603" s="431"/>
      <c r="N603" s="1"/>
      <c r="O603" s="1"/>
      <c r="Q603" s="1"/>
      <c r="W603" s="310"/>
      <c r="X603" s="310"/>
      <c r="Y603" s="310"/>
    </row>
    <row r="604" spans="1:25" ht="18.75" customHeight="1" x14ac:dyDescent="0.2">
      <c r="A604" s="444"/>
      <c r="B604" s="1"/>
      <c r="C604" s="1"/>
      <c r="D604" s="1"/>
      <c r="E604" s="1"/>
      <c r="F604" s="1"/>
      <c r="G604" s="445"/>
      <c r="H604" s="1"/>
      <c r="I604" s="446"/>
      <c r="J604" s="1"/>
      <c r="K604" s="1"/>
      <c r="L604" s="1"/>
      <c r="M604" s="431"/>
      <c r="N604" s="1"/>
      <c r="O604" s="1"/>
      <c r="Q604" s="1"/>
      <c r="W604" s="310"/>
      <c r="X604" s="310"/>
      <c r="Y604" s="310"/>
    </row>
    <row r="605" spans="1:25" ht="18.75" customHeight="1" x14ac:dyDescent="0.2">
      <c r="A605" s="444"/>
      <c r="B605" s="1"/>
      <c r="C605" s="1"/>
      <c r="D605" s="1"/>
      <c r="E605" s="1"/>
      <c r="F605" s="1"/>
      <c r="G605" s="445"/>
      <c r="H605" s="1"/>
      <c r="I605" s="446"/>
      <c r="J605" s="1"/>
      <c r="K605" s="1"/>
      <c r="L605" s="1"/>
      <c r="M605" s="431"/>
      <c r="N605" s="1"/>
      <c r="O605" s="1"/>
      <c r="Q605" s="1"/>
      <c r="W605" s="310"/>
      <c r="X605" s="310"/>
      <c r="Y605" s="310"/>
    </row>
    <row r="606" spans="1:25" ht="18.75" customHeight="1" x14ac:dyDescent="0.2">
      <c r="A606" s="444"/>
      <c r="B606" s="1"/>
      <c r="C606" s="1"/>
      <c r="D606" s="1"/>
      <c r="E606" s="1"/>
      <c r="F606" s="1"/>
      <c r="G606" s="445"/>
      <c r="H606" s="1"/>
      <c r="I606" s="446"/>
      <c r="J606" s="1"/>
      <c r="K606" s="1"/>
      <c r="L606" s="1"/>
      <c r="M606" s="431"/>
      <c r="N606" s="1"/>
      <c r="O606" s="1"/>
      <c r="Q606" s="1"/>
      <c r="W606" s="310"/>
      <c r="X606" s="310"/>
      <c r="Y606" s="310"/>
    </row>
    <row r="607" spans="1:25" ht="18.75" customHeight="1" x14ac:dyDescent="0.2">
      <c r="A607" s="444"/>
      <c r="B607" s="1"/>
      <c r="C607" s="1"/>
      <c r="D607" s="1"/>
      <c r="E607" s="1"/>
      <c r="F607" s="1"/>
      <c r="G607" s="445"/>
      <c r="H607" s="1"/>
      <c r="I607" s="446"/>
      <c r="J607" s="1"/>
      <c r="K607" s="1"/>
      <c r="L607" s="1"/>
      <c r="M607" s="431"/>
      <c r="N607" s="1"/>
      <c r="O607" s="1"/>
      <c r="Q607" s="1"/>
      <c r="W607" s="310"/>
      <c r="X607" s="310"/>
      <c r="Y607" s="310"/>
    </row>
    <row r="608" spans="1:25" ht="18.75" customHeight="1" x14ac:dyDescent="0.2">
      <c r="A608" s="444"/>
      <c r="B608" s="1"/>
      <c r="C608" s="1"/>
      <c r="D608" s="1"/>
      <c r="E608" s="1"/>
      <c r="F608" s="1"/>
      <c r="G608" s="445"/>
      <c r="H608" s="1"/>
      <c r="I608" s="446"/>
      <c r="J608" s="1"/>
      <c r="K608" s="1"/>
      <c r="L608" s="1"/>
      <c r="M608" s="431"/>
      <c r="N608" s="1"/>
      <c r="O608" s="1"/>
      <c r="Q608" s="1"/>
      <c r="W608" s="310"/>
      <c r="X608" s="310"/>
      <c r="Y608" s="310"/>
    </row>
    <row r="609" spans="1:25" ht="18.75" customHeight="1" x14ac:dyDescent="0.2">
      <c r="A609" s="444"/>
      <c r="B609" s="1"/>
      <c r="C609" s="1"/>
      <c r="D609" s="1"/>
      <c r="E609" s="1"/>
      <c r="F609" s="1"/>
      <c r="G609" s="445"/>
      <c r="H609" s="1"/>
      <c r="I609" s="446"/>
      <c r="J609" s="1"/>
      <c r="K609" s="1"/>
      <c r="L609" s="1"/>
      <c r="M609" s="431"/>
      <c r="N609" s="1"/>
      <c r="O609" s="1"/>
      <c r="Q609" s="1"/>
      <c r="W609" s="310"/>
      <c r="X609" s="310"/>
      <c r="Y609" s="310"/>
    </row>
    <row r="610" spans="1:25" ht="18.75" customHeight="1" x14ac:dyDescent="0.2">
      <c r="A610" s="444"/>
      <c r="B610" s="1"/>
      <c r="C610" s="1"/>
      <c r="D610" s="1"/>
      <c r="E610" s="1"/>
      <c r="F610" s="1"/>
      <c r="G610" s="445"/>
      <c r="H610" s="1"/>
      <c r="I610" s="446"/>
      <c r="J610" s="1"/>
      <c r="K610" s="1"/>
      <c r="L610" s="1"/>
      <c r="M610" s="431"/>
      <c r="N610" s="1"/>
      <c r="O610" s="1"/>
      <c r="Q610" s="1"/>
      <c r="W610" s="310"/>
      <c r="X610" s="310"/>
      <c r="Y610" s="310"/>
    </row>
    <row r="611" spans="1:25" ht="18.75" customHeight="1" x14ac:dyDescent="0.2">
      <c r="A611" s="444"/>
      <c r="B611" s="1"/>
      <c r="C611" s="1"/>
      <c r="D611" s="1"/>
      <c r="E611" s="1"/>
      <c r="F611" s="1"/>
      <c r="G611" s="445"/>
      <c r="H611" s="1"/>
      <c r="I611" s="446"/>
      <c r="J611" s="1"/>
      <c r="K611" s="1"/>
      <c r="L611" s="1"/>
      <c r="M611" s="431"/>
      <c r="N611" s="1"/>
      <c r="O611" s="1"/>
      <c r="Q611" s="1"/>
      <c r="W611" s="310"/>
      <c r="X611" s="310"/>
      <c r="Y611" s="310"/>
    </row>
    <row r="612" spans="1:25" ht="18.75" customHeight="1" x14ac:dyDescent="0.2">
      <c r="A612" s="444"/>
      <c r="B612" s="1"/>
      <c r="C612" s="1"/>
      <c r="D612" s="1"/>
      <c r="E612" s="1"/>
      <c r="F612" s="1"/>
      <c r="G612" s="445"/>
      <c r="H612" s="1"/>
      <c r="I612" s="446"/>
      <c r="J612" s="1"/>
      <c r="K612" s="1"/>
      <c r="L612" s="1"/>
      <c r="M612" s="431"/>
      <c r="N612" s="1"/>
      <c r="O612" s="1"/>
      <c r="Q612" s="1"/>
      <c r="W612" s="310"/>
      <c r="X612" s="310"/>
      <c r="Y612" s="310"/>
    </row>
    <row r="613" spans="1:25" ht="18.75" customHeight="1" x14ac:dyDescent="0.2">
      <c r="A613" s="444"/>
      <c r="B613" s="1"/>
      <c r="C613" s="1"/>
      <c r="D613" s="1"/>
      <c r="E613" s="1"/>
      <c r="F613" s="1"/>
      <c r="G613" s="445"/>
      <c r="H613" s="1"/>
      <c r="I613" s="446"/>
      <c r="J613" s="1"/>
      <c r="K613" s="1"/>
      <c r="L613" s="1"/>
      <c r="M613" s="431"/>
      <c r="N613" s="1"/>
      <c r="O613" s="1"/>
      <c r="Q613" s="1"/>
      <c r="W613" s="310"/>
      <c r="X613" s="310"/>
      <c r="Y613" s="310"/>
    </row>
    <row r="614" spans="1:25" ht="18.75" customHeight="1" x14ac:dyDescent="0.2">
      <c r="A614" s="444"/>
      <c r="B614" s="1"/>
      <c r="C614" s="1"/>
      <c r="D614" s="1"/>
      <c r="E614" s="1"/>
      <c r="F614" s="1"/>
      <c r="G614" s="445"/>
      <c r="H614" s="1"/>
      <c r="I614" s="446"/>
      <c r="J614" s="1"/>
      <c r="K614" s="1"/>
      <c r="L614" s="1"/>
      <c r="M614" s="431"/>
      <c r="N614" s="1"/>
      <c r="O614" s="1"/>
      <c r="Q614" s="1"/>
      <c r="W614" s="310"/>
      <c r="X614" s="310"/>
      <c r="Y614" s="310"/>
    </row>
    <row r="615" spans="1:25" ht="18.75" customHeight="1" x14ac:dyDescent="0.2">
      <c r="A615" s="444"/>
      <c r="B615" s="1"/>
      <c r="C615" s="1"/>
      <c r="D615" s="1"/>
      <c r="E615" s="1"/>
      <c r="F615" s="1"/>
      <c r="G615" s="445"/>
      <c r="H615" s="1"/>
      <c r="I615" s="446"/>
      <c r="J615" s="1"/>
      <c r="K615" s="1"/>
      <c r="L615" s="1"/>
      <c r="M615" s="431"/>
      <c r="N615" s="1"/>
      <c r="O615" s="1"/>
      <c r="Q615" s="1"/>
      <c r="W615" s="310"/>
      <c r="X615" s="310"/>
      <c r="Y615" s="310"/>
    </row>
    <row r="616" spans="1:25" ht="18.75" customHeight="1" x14ac:dyDescent="0.2">
      <c r="A616" s="444"/>
      <c r="B616" s="1"/>
      <c r="C616" s="1"/>
      <c r="D616" s="1"/>
      <c r="E616" s="1"/>
      <c r="F616" s="1"/>
      <c r="G616" s="445"/>
      <c r="H616" s="1"/>
      <c r="I616" s="446"/>
      <c r="J616" s="1"/>
      <c r="K616" s="1"/>
      <c r="L616" s="1"/>
      <c r="M616" s="431"/>
      <c r="N616" s="1"/>
      <c r="O616" s="1"/>
      <c r="Q616" s="1"/>
      <c r="W616" s="310"/>
      <c r="X616" s="310"/>
      <c r="Y616" s="310"/>
    </row>
    <row r="617" spans="1:25" ht="18.75" customHeight="1" x14ac:dyDescent="0.2">
      <c r="A617" s="444"/>
      <c r="B617" s="1"/>
      <c r="C617" s="1"/>
      <c r="D617" s="1"/>
      <c r="E617" s="1"/>
      <c r="F617" s="1"/>
      <c r="G617" s="445"/>
      <c r="H617" s="1"/>
      <c r="I617" s="446"/>
      <c r="J617" s="1"/>
      <c r="K617" s="1"/>
      <c r="L617" s="1"/>
      <c r="M617" s="431"/>
      <c r="N617" s="1"/>
      <c r="O617" s="1"/>
      <c r="Q617" s="1"/>
      <c r="W617" s="310"/>
      <c r="X617" s="310"/>
      <c r="Y617" s="310"/>
    </row>
    <row r="618" spans="1:25" ht="18.75" customHeight="1" x14ac:dyDescent="0.2">
      <c r="A618" s="444"/>
      <c r="B618" s="1"/>
      <c r="C618" s="1"/>
      <c r="D618" s="1"/>
      <c r="E618" s="1"/>
      <c r="F618" s="1"/>
      <c r="G618" s="445"/>
      <c r="H618" s="1"/>
      <c r="I618" s="446"/>
      <c r="J618" s="1"/>
      <c r="K618" s="1"/>
      <c r="L618" s="1"/>
      <c r="M618" s="431"/>
      <c r="N618" s="1"/>
      <c r="O618" s="1"/>
      <c r="Q618" s="1"/>
      <c r="W618" s="310"/>
      <c r="X618" s="310"/>
      <c r="Y618" s="310"/>
    </row>
    <row r="619" spans="1:25" ht="18.75" customHeight="1" x14ac:dyDescent="0.2">
      <c r="A619" s="444"/>
      <c r="B619" s="1"/>
      <c r="C619" s="1"/>
      <c r="D619" s="1"/>
      <c r="E619" s="1"/>
      <c r="F619" s="1"/>
      <c r="G619" s="445"/>
      <c r="H619" s="1"/>
      <c r="I619" s="446"/>
      <c r="J619" s="1"/>
      <c r="K619" s="1"/>
      <c r="L619" s="1"/>
      <c r="M619" s="431"/>
      <c r="N619" s="1"/>
      <c r="O619" s="1"/>
      <c r="Q619" s="1"/>
      <c r="W619" s="310"/>
      <c r="X619" s="310"/>
      <c r="Y619" s="310"/>
    </row>
    <row r="620" spans="1:25" ht="18.75" customHeight="1" x14ac:dyDescent="0.2">
      <c r="A620" s="444"/>
      <c r="B620" s="1"/>
      <c r="C620" s="1"/>
      <c r="D620" s="1"/>
      <c r="E620" s="1"/>
      <c r="F620" s="1"/>
      <c r="G620" s="445"/>
      <c r="H620" s="1"/>
      <c r="I620" s="446"/>
      <c r="J620" s="1"/>
      <c r="K620" s="1"/>
      <c r="L620" s="1"/>
      <c r="M620" s="431"/>
      <c r="N620" s="1"/>
      <c r="O620" s="1"/>
      <c r="Q620" s="1"/>
      <c r="W620" s="310"/>
      <c r="X620" s="310"/>
      <c r="Y620" s="310"/>
    </row>
    <row r="621" spans="1:25" ht="18.75" customHeight="1" x14ac:dyDescent="0.2">
      <c r="A621" s="444"/>
      <c r="B621" s="1"/>
      <c r="C621" s="1"/>
      <c r="D621" s="1"/>
      <c r="E621" s="1"/>
      <c r="F621" s="1"/>
      <c r="G621" s="445"/>
      <c r="H621" s="1"/>
      <c r="I621" s="446"/>
      <c r="J621" s="1"/>
      <c r="K621" s="1"/>
      <c r="L621" s="1"/>
      <c r="M621" s="431"/>
      <c r="N621" s="1"/>
      <c r="O621" s="1"/>
      <c r="Q621" s="1"/>
      <c r="W621" s="310"/>
      <c r="X621" s="310"/>
      <c r="Y621" s="310"/>
    </row>
    <row r="622" spans="1:25" ht="18.75" customHeight="1" x14ac:dyDescent="0.2">
      <c r="A622" s="444"/>
      <c r="B622" s="1"/>
      <c r="C622" s="1"/>
      <c r="D622" s="1"/>
      <c r="E622" s="1"/>
      <c r="F622" s="1"/>
      <c r="G622" s="445"/>
      <c r="H622" s="1"/>
      <c r="I622" s="446"/>
      <c r="J622" s="1"/>
      <c r="K622" s="1"/>
      <c r="L622" s="1"/>
      <c r="M622" s="431"/>
      <c r="N622" s="1"/>
      <c r="O622" s="1"/>
      <c r="Q622" s="1"/>
      <c r="W622" s="310"/>
      <c r="X622" s="310"/>
      <c r="Y622" s="310"/>
    </row>
    <row r="623" spans="1:25" ht="18.75" customHeight="1" x14ac:dyDescent="0.2">
      <c r="A623" s="444"/>
      <c r="B623" s="1"/>
      <c r="C623" s="1"/>
      <c r="D623" s="1"/>
      <c r="E623" s="1"/>
      <c r="F623" s="1"/>
      <c r="G623" s="445"/>
      <c r="H623" s="1"/>
      <c r="I623" s="446"/>
      <c r="J623" s="1"/>
      <c r="K623" s="1"/>
      <c r="L623" s="1"/>
      <c r="M623" s="431"/>
      <c r="N623" s="1"/>
      <c r="O623" s="1"/>
      <c r="Q623" s="1"/>
      <c r="W623" s="310"/>
      <c r="X623" s="310"/>
      <c r="Y623" s="310"/>
    </row>
    <row r="624" spans="1:25" ht="18.75" customHeight="1" x14ac:dyDescent="0.2">
      <c r="A624" s="444"/>
      <c r="B624" s="1"/>
      <c r="C624" s="1"/>
      <c r="D624" s="1"/>
      <c r="E624" s="1"/>
      <c r="F624" s="1"/>
      <c r="G624" s="445"/>
      <c r="H624" s="1"/>
      <c r="I624" s="446"/>
      <c r="J624" s="1"/>
      <c r="K624" s="1"/>
      <c r="L624" s="1"/>
      <c r="M624" s="431"/>
      <c r="N624" s="1"/>
      <c r="O624" s="1"/>
      <c r="Q624" s="1"/>
      <c r="W624" s="310"/>
      <c r="X624" s="310"/>
      <c r="Y624" s="310"/>
    </row>
    <row r="625" spans="1:25" ht="18.75" customHeight="1" x14ac:dyDescent="0.2">
      <c r="A625" s="444"/>
      <c r="B625" s="1"/>
      <c r="C625" s="1"/>
      <c r="D625" s="1"/>
      <c r="E625" s="1"/>
      <c r="F625" s="1"/>
      <c r="G625" s="445"/>
      <c r="H625" s="1"/>
      <c r="I625" s="446"/>
      <c r="J625" s="1"/>
      <c r="K625" s="1"/>
      <c r="L625" s="1"/>
      <c r="M625" s="431"/>
      <c r="N625" s="1"/>
      <c r="O625" s="1"/>
      <c r="Q625" s="1"/>
      <c r="W625" s="310"/>
      <c r="X625" s="310"/>
      <c r="Y625" s="310"/>
    </row>
    <row r="626" spans="1:25" ht="18.75" customHeight="1" x14ac:dyDescent="0.2">
      <c r="A626" s="444"/>
      <c r="B626" s="1"/>
      <c r="C626" s="1"/>
      <c r="D626" s="1"/>
      <c r="E626" s="1"/>
      <c r="F626" s="1"/>
      <c r="G626" s="445"/>
      <c r="H626" s="1"/>
      <c r="I626" s="446"/>
      <c r="J626" s="1"/>
      <c r="K626" s="1"/>
      <c r="L626" s="1"/>
      <c r="M626" s="431"/>
      <c r="N626" s="1"/>
      <c r="O626" s="1"/>
      <c r="Q626" s="1"/>
      <c r="W626" s="310"/>
      <c r="X626" s="310"/>
      <c r="Y626" s="310"/>
    </row>
    <row r="627" spans="1:25" ht="18.75" customHeight="1" x14ac:dyDescent="0.2">
      <c r="A627" s="444"/>
      <c r="B627" s="1"/>
      <c r="C627" s="1"/>
      <c r="D627" s="1"/>
      <c r="E627" s="1"/>
      <c r="F627" s="1"/>
      <c r="G627" s="445"/>
      <c r="H627" s="1"/>
      <c r="I627" s="446"/>
      <c r="J627" s="1"/>
      <c r="K627" s="1"/>
      <c r="L627" s="1"/>
      <c r="M627" s="431"/>
      <c r="N627" s="1"/>
      <c r="O627" s="1"/>
      <c r="Q627" s="1"/>
      <c r="W627" s="310"/>
      <c r="X627" s="310"/>
      <c r="Y627" s="310"/>
    </row>
    <row r="628" spans="1:25" ht="18.75" customHeight="1" x14ac:dyDescent="0.2">
      <c r="A628" s="444"/>
      <c r="B628" s="1"/>
      <c r="C628" s="1"/>
      <c r="D628" s="1"/>
      <c r="E628" s="1"/>
      <c r="F628" s="1"/>
      <c r="G628" s="445"/>
      <c r="H628" s="1"/>
      <c r="I628" s="446"/>
      <c r="J628" s="1"/>
      <c r="K628" s="1"/>
      <c r="L628" s="1"/>
      <c r="M628" s="431"/>
      <c r="N628" s="1"/>
      <c r="O628" s="1"/>
      <c r="Q628" s="1"/>
      <c r="W628" s="310"/>
      <c r="X628" s="310"/>
      <c r="Y628" s="310"/>
    </row>
    <row r="629" spans="1:25" ht="18.75" customHeight="1" x14ac:dyDescent="0.2">
      <c r="A629" s="444"/>
      <c r="B629" s="1"/>
      <c r="C629" s="1"/>
      <c r="D629" s="1"/>
      <c r="E629" s="1"/>
      <c r="F629" s="1"/>
      <c r="G629" s="445"/>
      <c r="H629" s="1"/>
      <c r="I629" s="446"/>
      <c r="J629" s="1"/>
      <c r="K629" s="1"/>
      <c r="L629" s="1"/>
      <c r="M629" s="431"/>
      <c r="N629" s="1"/>
      <c r="O629" s="1"/>
      <c r="Q629" s="1"/>
      <c r="W629" s="310"/>
      <c r="X629" s="310"/>
      <c r="Y629" s="310"/>
    </row>
    <row r="630" spans="1:25" ht="18.75" customHeight="1" x14ac:dyDescent="0.2">
      <c r="A630" s="444"/>
      <c r="B630" s="1"/>
      <c r="C630" s="1"/>
      <c r="D630" s="1"/>
      <c r="E630" s="1"/>
      <c r="F630" s="1"/>
      <c r="G630" s="445"/>
      <c r="H630" s="1"/>
      <c r="I630" s="446"/>
      <c r="J630" s="1"/>
      <c r="K630" s="1"/>
      <c r="L630" s="1"/>
      <c r="M630" s="431"/>
      <c r="N630" s="1"/>
      <c r="O630" s="1"/>
      <c r="Q630" s="1"/>
      <c r="W630" s="310"/>
      <c r="X630" s="310"/>
      <c r="Y630" s="310"/>
    </row>
    <row r="631" spans="1:25" ht="18.75" customHeight="1" x14ac:dyDescent="0.2">
      <c r="A631" s="444"/>
      <c r="B631" s="1"/>
      <c r="C631" s="1"/>
      <c r="D631" s="1"/>
      <c r="E631" s="1"/>
      <c r="F631" s="1"/>
      <c r="G631" s="445"/>
      <c r="H631" s="1"/>
      <c r="I631" s="446"/>
      <c r="J631" s="1"/>
      <c r="K631" s="1"/>
      <c r="L631" s="1"/>
      <c r="M631" s="431"/>
      <c r="N631" s="1"/>
      <c r="O631" s="1"/>
      <c r="Q631" s="1"/>
      <c r="W631" s="310"/>
      <c r="X631" s="310"/>
      <c r="Y631" s="310"/>
    </row>
    <row r="632" spans="1:25" ht="18.75" customHeight="1" x14ac:dyDescent="0.2">
      <c r="A632" s="444"/>
      <c r="B632" s="1"/>
      <c r="C632" s="1"/>
      <c r="D632" s="1"/>
      <c r="E632" s="1"/>
      <c r="F632" s="1"/>
      <c r="G632" s="445"/>
      <c r="H632" s="1"/>
      <c r="I632" s="446"/>
      <c r="J632" s="1"/>
      <c r="K632" s="1"/>
      <c r="L632" s="1"/>
      <c r="M632" s="431"/>
      <c r="N632" s="1"/>
      <c r="O632" s="1"/>
      <c r="Q632" s="1"/>
      <c r="W632" s="310"/>
      <c r="X632" s="310"/>
      <c r="Y632" s="310"/>
    </row>
    <row r="633" spans="1:25" ht="18.75" customHeight="1" x14ac:dyDescent="0.2">
      <c r="A633" s="444"/>
      <c r="B633" s="1"/>
      <c r="C633" s="1"/>
      <c r="D633" s="1"/>
      <c r="E633" s="1"/>
      <c r="F633" s="1"/>
      <c r="G633" s="445"/>
      <c r="H633" s="1"/>
      <c r="I633" s="446"/>
      <c r="J633" s="1"/>
      <c r="K633" s="1"/>
      <c r="L633" s="1"/>
      <c r="M633" s="431"/>
      <c r="N633" s="1"/>
      <c r="O633" s="1"/>
      <c r="Q633" s="1"/>
      <c r="W633" s="310"/>
      <c r="X633" s="310"/>
      <c r="Y633" s="310"/>
    </row>
    <row r="634" spans="1:25" ht="18.75" customHeight="1" x14ac:dyDescent="0.2">
      <c r="A634" s="444"/>
      <c r="B634" s="1"/>
      <c r="C634" s="1"/>
      <c r="D634" s="1"/>
      <c r="E634" s="1"/>
      <c r="F634" s="1"/>
      <c r="G634" s="445"/>
      <c r="H634" s="1"/>
      <c r="I634" s="446"/>
      <c r="J634" s="1"/>
      <c r="K634" s="1"/>
      <c r="L634" s="1"/>
      <c r="M634" s="431"/>
      <c r="N634" s="1"/>
      <c r="O634" s="1"/>
      <c r="Q634" s="1"/>
      <c r="W634" s="310"/>
      <c r="X634" s="310"/>
      <c r="Y634" s="310"/>
    </row>
    <row r="635" spans="1:25" ht="18.75" customHeight="1" x14ac:dyDescent="0.2">
      <c r="A635" s="444"/>
      <c r="B635" s="1"/>
      <c r="C635" s="1"/>
      <c r="D635" s="1"/>
      <c r="E635" s="1"/>
      <c r="F635" s="1"/>
      <c r="G635" s="445"/>
      <c r="H635" s="1"/>
      <c r="I635" s="446"/>
      <c r="J635" s="1"/>
      <c r="K635" s="1"/>
      <c r="L635" s="1"/>
      <c r="M635" s="431"/>
      <c r="N635" s="1"/>
      <c r="O635" s="1"/>
      <c r="Q635" s="1"/>
      <c r="W635" s="310"/>
      <c r="X635" s="310"/>
      <c r="Y635" s="310"/>
    </row>
    <row r="636" spans="1:25" ht="18.75" customHeight="1" x14ac:dyDescent="0.2">
      <c r="A636" s="444"/>
      <c r="B636" s="1"/>
      <c r="C636" s="1"/>
      <c r="D636" s="1"/>
      <c r="E636" s="1"/>
      <c r="F636" s="1"/>
      <c r="G636" s="445"/>
      <c r="H636" s="1"/>
      <c r="I636" s="446"/>
      <c r="J636" s="1"/>
      <c r="K636" s="1"/>
      <c r="L636" s="1"/>
      <c r="M636" s="431"/>
      <c r="N636" s="1"/>
      <c r="O636" s="1"/>
      <c r="Q636" s="1"/>
      <c r="W636" s="310"/>
      <c r="X636" s="310"/>
      <c r="Y636" s="310"/>
    </row>
    <row r="637" spans="1:25" ht="18.75" customHeight="1" x14ac:dyDescent="0.2">
      <c r="A637" s="444"/>
      <c r="B637" s="1"/>
      <c r="C637" s="1"/>
      <c r="D637" s="1"/>
      <c r="E637" s="1"/>
      <c r="F637" s="1"/>
      <c r="G637" s="445"/>
      <c r="H637" s="1"/>
      <c r="I637" s="446"/>
      <c r="J637" s="1"/>
      <c r="K637" s="1"/>
      <c r="L637" s="1"/>
      <c r="M637" s="431"/>
      <c r="N637" s="1"/>
      <c r="O637" s="1"/>
      <c r="Q637" s="1"/>
      <c r="W637" s="310"/>
      <c r="X637" s="310"/>
      <c r="Y637" s="310"/>
    </row>
    <row r="638" spans="1:25" ht="18.75" customHeight="1" x14ac:dyDescent="0.2">
      <c r="A638" s="444"/>
      <c r="B638" s="1"/>
      <c r="C638" s="1"/>
      <c r="D638" s="1"/>
      <c r="E638" s="1"/>
      <c r="F638" s="1"/>
      <c r="G638" s="445"/>
      <c r="H638" s="1"/>
      <c r="I638" s="446"/>
      <c r="J638" s="1"/>
      <c r="K638" s="1"/>
      <c r="L638" s="1"/>
      <c r="M638" s="431"/>
      <c r="N638" s="1"/>
      <c r="O638" s="1"/>
      <c r="Q638" s="1"/>
      <c r="W638" s="310"/>
      <c r="X638" s="310"/>
      <c r="Y638" s="310"/>
    </row>
    <row r="639" spans="1:25" ht="18.75" customHeight="1" x14ac:dyDescent="0.2">
      <c r="A639" s="444"/>
      <c r="B639" s="1"/>
      <c r="C639" s="1"/>
      <c r="D639" s="1"/>
      <c r="E639" s="1"/>
      <c r="F639" s="1"/>
      <c r="G639" s="445"/>
      <c r="H639" s="1"/>
      <c r="I639" s="446"/>
      <c r="J639" s="1"/>
      <c r="K639" s="1"/>
      <c r="L639" s="1"/>
      <c r="M639" s="431"/>
      <c r="N639" s="1"/>
      <c r="O639" s="1"/>
      <c r="Q639" s="1"/>
      <c r="W639" s="310"/>
      <c r="X639" s="310"/>
      <c r="Y639" s="310"/>
    </row>
    <row r="640" spans="1:25" ht="18.75" customHeight="1" x14ac:dyDescent="0.2">
      <c r="A640" s="444"/>
      <c r="B640" s="1"/>
      <c r="C640" s="1"/>
      <c r="D640" s="1"/>
      <c r="E640" s="1"/>
      <c r="F640" s="1"/>
      <c r="G640" s="445"/>
      <c r="H640" s="1"/>
      <c r="I640" s="446"/>
      <c r="J640" s="1"/>
      <c r="K640" s="1"/>
      <c r="L640" s="1"/>
      <c r="M640" s="431"/>
      <c r="N640" s="1"/>
      <c r="O640" s="1"/>
      <c r="Q640" s="1"/>
      <c r="W640" s="310"/>
      <c r="X640" s="310"/>
      <c r="Y640" s="310"/>
    </row>
    <row r="641" spans="1:25" ht="18.75" customHeight="1" x14ac:dyDescent="0.2">
      <c r="A641" s="444"/>
      <c r="B641" s="1"/>
      <c r="C641" s="1"/>
      <c r="D641" s="1"/>
      <c r="E641" s="1"/>
      <c r="F641" s="1"/>
      <c r="G641" s="445"/>
      <c r="H641" s="1"/>
      <c r="I641" s="446"/>
      <c r="J641" s="1"/>
      <c r="K641" s="1"/>
      <c r="L641" s="1"/>
      <c r="M641" s="431"/>
      <c r="N641" s="1"/>
      <c r="O641" s="1"/>
      <c r="Q641" s="1"/>
      <c r="W641" s="310"/>
      <c r="X641" s="310"/>
      <c r="Y641" s="310"/>
    </row>
    <row r="642" spans="1:25" ht="18.75" customHeight="1" x14ac:dyDescent="0.2">
      <c r="A642" s="444"/>
      <c r="B642" s="1"/>
      <c r="C642" s="1"/>
      <c r="D642" s="1"/>
      <c r="E642" s="1"/>
      <c r="F642" s="1"/>
      <c r="G642" s="445"/>
      <c r="H642" s="1"/>
      <c r="I642" s="446"/>
      <c r="J642" s="1"/>
      <c r="K642" s="1"/>
      <c r="L642" s="1"/>
      <c r="M642" s="431"/>
      <c r="N642" s="1"/>
      <c r="O642" s="1"/>
      <c r="Q642" s="1"/>
      <c r="W642" s="310"/>
      <c r="X642" s="310"/>
      <c r="Y642" s="310"/>
    </row>
    <row r="643" spans="1:25" ht="18.75" customHeight="1" x14ac:dyDescent="0.2">
      <c r="A643" s="444"/>
      <c r="B643" s="1"/>
      <c r="C643" s="1"/>
      <c r="D643" s="1"/>
      <c r="E643" s="1"/>
      <c r="F643" s="1"/>
      <c r="G643" s="445"/>
      <c r="H643" s="1"/>
      <c r="I643" s="446"/>
      <c r="J643" s="1"/>
      <c r="K643" s="1"/>
      <c r="L643" s="1"/>
      <c r="M643" s="431"/>
      <c r="N643" s="1"/>
      <c r="O643" s="1"/>
      <c r="Q643" s="1"/>
      <c r="W643" s="310"/>
      <c r="X643" s="310"/>
      <c r="Y643" s="310"/>
    </row>
    <row r="644" spans="1:25" ht="18.75" customHeight="1" x14ac:dyDescent="0.2">
      <c r="A644" s="444"/>
      <c r="B644" s="1"/>
      <c r="C644" s="1"/>
      <c r="D644" s="1"/>
      <c r="E644" s="1"/>
      <c r="F644" s="1"/>
      <c r="G644" s="445"/>
      <c r="H644" s="1"/>
      <c r="I644" s="446"/>
      <c r="J644" s="1"/>
      <c r="K644" s="1"/>
      <c r="L644" s="1"/>
      <c r="M644" s="431"/>
      <c r="N644" s="1"/>
      <c r="O644" s="1"/>
      <c r="Q644" s="1"/>
      <c r="W644" s="310"/>
      <c r="X644" s="310"/>
      <c r="Y644" s="310"/>
    </row>
    <row r="645" spans="1:25" ht="18.75" customHeight="1" x14ac:dyDescent="0.2">
      <c r="A645" s="444"/>
      <c r="B645" s="1"/>
      <c r="C645" s="1"/>
      <c r="D645" s="1"/>
      <c r="E645" s="1"/>
      <c r="F645" s="1"/>
      <c r="G645" s="445"/>
      <c r="H645" s="1"/>
      <c r="I645" s="446"/>
      <c r="J645" s="1"/>
      <c r="K645" s="1"/>
      <c r="L645" s="1"/>
      <c r="M645" s="431"/>
      <c r="N645" s="1"/>
      <c r="O645" s="1"/>
      <c r="Q645" s="1"/>
      <c r="W645" s="310"/>
      <c r="X645" s="310"/>
      <c r="Y645" s="310"/>
    </row>
    <row r="646" spans="1:25" ht="18.75" customHeight="1" x14ac:dyDescent="0.2">
      <c r="A646" s="444"/>
      <c r="B646" s="1"/>
      <c r="C646" s="1"/>
      <c r="D646" s="1"/>
      <c r="E646" s="1"/>
      <c r="F646" s="1"/>
      <c r="G646" s="445"/>
      <c r="H646" s="1"/>
      <c r="I646" s="446"/>
      <c r="J646" s="1"/>
      <c r="K646" s="1"/>
      <c r="L646" s="1"/>
      <c r="M646" s="431"/>
      <c r="N646" s="1"/>
      <c r="O646" s="1"/>
      <c r="Q646" s="1"/>
      <c r="W646" s="310"/>
      <c r="X646" s="310"/>
      <c r="Y646" s="310"/>
    </row>
    <row r="647" spans="1:25" ht="18.75" customHeight="1" x14ac:dyDescent="0.2">
      <c r="A647" s="444"/>
      <c r="B647" s="1"/>
      <c r="C647" s="1"/>
      <c r="D647" s="1"/>
      <c r="E647" s="1"/>
      <c r="F647" s="1"/>
      <c r="G647" s="445"/>
      <c r="H647" s="1"/>
      <c r="I647" s="446"/>
      <c r="J647" s="1"/>
      <c r="K647" s="1"/>
      <c r="L647" s="1"/>
      <c r="M647" s="431"/>
      <c r="N647" s="1"/>
      <c r="O647" s="1"/>
      <c r="Q647" s="1"/>
      <c r="W647" s="310"/>
      <c r="X647" s="310"/>
      <c r="Y647" s="310"/>
    </row>
    <row r="648" spans="1:25" ht="18.75" customHeight="1" x14ac:dyDescent="0.2">
      <c r="A648" s="444"/>
      <c r="B648" s="1"/>
      <c r="C648" s="1"/>
      <c r="D648" s="1"/>
      <c r="E648" s="1"/>
      <c r="F648" s="1"/>
      <c r="G648" s="445"/>
      <c r="H648" s="1"/>
      <c r="I648" s="446"/>
      <c r="J648" s="1"/>
      <c r="K648" s="1"/>
      <c r="L648" s="1"/>
      <c r="M648" s="431"/>
      <c r="N648" s="1"/>
      <c r="O648" s="1"/>
      <c r="Q648" s="1"/>
      <c r="W648" s="310"/>
      <c r="X648" s="310"/>
      <c r="Y648" s="310"/>
    </row>
    <row r="649" spans="1:25" ht="18.75" customHeight="1" x14ac:dyDescent="0.2">
      <c r="A649" s="444"/>
      <c r="B649" s="1"/>
      <c r="C649" s="1"/>
      <c r="D649" s="1"/>
      <c r="E649" s="1"/>
      <c r="F649" s="1"/>
      <c r="G649" s="445"/>
      <c r="H649" s="1"/>
      <c r="I649" s="446"/>
      <c r="J649" s="1"/>
      <c r="K649" s="1"/>
      <c r="L649" s="1"/>
      <c r="M649" s="431"/>
      <c r="N649" s="1"/>
      <c r="O649" s="1"/>
      <c r="Q649" s="1"/>
      <c r="W649" s="310"/>
      <c r="X649" s="310"/>
      <c r="Y649" s="310"/>
    </row>
    <row r="650" spans="1:25" ht="18.75" customHeight="1" x14ac:dyDescent="0.2">
      <c r="A650" s="444"/>
      <c r="B650" s="1"/>
      <c r="C650" s="1"/>
      <c r="D650" s="1"/>
      <c r="E650" s="1"/>
      <c r="F650" s="1"/>
      <c r="G650" s="445"/>
      <c r="H650" s="1"/>
      <c r="I650" s="446"/>
      <c r="J650" s="1"/>
      <c r="K650" s="1"/>
      <c r="L650" s="1"/>
      <c r="M650" s="431"/>
      <c r="N650" s="1"/>
      <c r="O650" s="1"/>
      <c r="Q650" s="1"/>
      <c r="W650" s="310"/>
      <c r="X650" s="310"/>
      <c r="Y650" s="310"/>
    </row>
    <row r="651" spans="1:25" ht="18.75" customHeight="1" x14ac:dyDescent="0.2">
      <c r="A651" s="444"/>
      <c r="B651" s="1"/>
      <c r="C651" s="1"/>
      <c r="D651" s="1"/>
      <c r="E651" s="1"/>
      <c r="F651" s="1"/>
      <c r="G651" s="445"/>
      <c r="H651" s="1"/>
      <c r="I651" s="446"/>
      <c r="J651" s="1"/>
      <c r="K651" s="1"/>
      <c r="L651" s="1"/>
      <c r="M651" s="431"/>
      <c r="N651" s="1"/>
      <c r="O651" s="1"/>
      <c r="Q651" s="1"/>
      <c r="W651" s="310"/>
      <c r="X651" s="310"/>
      <c r="Y651" s="310"/>
    </row>
    <row r="652" spans="1:25" ht="18.75" customHeight="1" x14ac:dyDescent="0.2">
      <c r="A652" s="444"/>
      <c r="B652" s="1"/>
      <c r="C652" s="1"/>
      <c r="D652" s="1"/>
      <c r="E652" s="1"/>
      <c r="F652" s="1"/>
      <c r="G652" s="445"/>
      <c r="H652" s="1"/>
      <c r="I652" s="446"/>
      <c r="J652" s="1"/>
      <c r="K652" s="1"/>
      <c r="L652" s="1"/>
      <c r="M652" s="431"/>
      <c r="N652" s="1"/>
      <c r="O652" s="1"/>
      <c r="Q652" s="1"/>
      <c r="W652" s="310"/>
      <c r="X652" s="310"/>
      <c r="Y652" s="310"/>
    </row>
    <row r="653" spans="1:25" ht="18.75" customHeight="1" x14ac:dyDescent="0.2">
      <c r="A653" s="444"/>
      <c r="B653" s="1"/>
      <c r="C653" s="1"/>
      <c r="D653" s="1"/>
      <c r="E653" s="1"/>
      <c r="F653" s="1"/>
      <c r="G653" s="445"/>
      <c r="H653" s="1"/>
      <c r="I653" s="446"/>
      <c r="J653" s="1"/>
      <c r="K653" s="1"/>
      <c r="L653" s="1"/>
      <c r="M653" s="431"/>
      <c r="N653" s="1"/>
      <c r="O653" s="1"/>
      <c r="Q653" s="1"/>
      <c r="W653" s="310"/>
      <c r="X653" s="310"/>
      <c r="Y653" s="310"/>
    </row>
    <row r="654" spans="1:25" ht="18.75" customHeight="1" x14ac:dyDescent="0.2">
      <c r="A654" s="444"/>
      <c r="B654" s="1"/>
      <c r="C654" s="1"/>
      <c r="D654" s="1"/>
      <c r="E654" s="1"/>
      <c r="F654" s="1"/>
      <c r="G654" s="445"/>
      <c r="H654" s="1"/>
      <c r="I654" s="446"/>
      <c r="J654" s="1"/>
      <c r="K654" s="1"/>
      <c r="L654" s="1"/>
      <c r="M654" s="431"/>
      <c r="N654" s="1"/>
      <c r="O654" s="1"/>
      <c r="Q654" s="1"/>
      <c r="W654" s="310"/>
      <c r="X654" s="310"/>
      <c r="Y654" s="310"/>
    </row>
    <row r="655" spans="1:25" ht="18.75" customHeight="1" x14ac:dyDescent="0.2">
      <c r="A655" s="444"/>
      <c r="B655" s="1"/>
      <c r="C655" s="1"/>
      <c r="D655" s="1"/>
      <c r="E655" s="1"/>
      <c r="F655" s="1"/>
      <c r="G655" s="445"/>
      <c r="H655" s="1"/>
      <c r="I655" s="446"/>
      <c r="J655" s="1"/>
      <c r="K655" s="1"/>
      <c r="L655" s="1"/>
      <c r="M655" s="431"/>
      <c r="N655" s="1"/>
      <c r="O655" s="1"/>
      <c r="Q655" s="1"/>
      <c r="W655" s="310"/>
      <c r="X655" s="310"/>
      <c r="Y655" s="310"/>
    </row>
    <row r="656" spans="1:25" ht="18.75" customHeight="1" x14ac:dyDescent="0.2">
      <c r="A656" s="444"/>
      <c r="B656" s="1"/>
      <c r="C656" s="1"/>
      <c r="D656" s="1"/>
      <c r="E656" s="1"/>
      <c r="F656" s="1"/>
      <c r="G656" s="445"/>
      <c r="H656" s="1"/>
      <c r="I656" s="446"/>
      <c r="J656" s="1"/>
      <c r="K656" s="1"/>
      <c r="L656" s="1"/>
      <c r="M656" s="431"/>
      <c r="N656" s="1"/>
      <c r="O656" s="1"/>
      <c r="Q656" s="1"/>
      <c r="W656" s="310"/>
      <c r="X656" s="310"/>
      <c r="Y656" s="310"/>
    </row>
    <row r="657" spans="1:25" ht="18.75" customHeight="1" x14ac:dyDescent="0.2">
      <c r="A657" s="444"/>
      <c r="B657" s="1"/>
      <c r="C657" s="1"/>
      <c r="D657" s="1"/>
      <c r="E657" s="1"/>
      <c r="F657" s="1"/>
      <c r="G657" s="445"/>
      <c r="H657" s="1"/>
      <c r="I657" s="446"/>
      <c r="J657" s="1"/>
      <c r="K657" s="1"/>
      <c r="L657" s="1"/>
      <c r="M657" s="431"/>
      <c r="N657" s="1"/>
      <c r="O657" s="1"/>
      <c r="Q657" s="1"/>
      <c r="W657" s="310"/>
      <c r="X657" s="310"/>
      <c r="Y657" s="310"/>
    </row>
    <row r="658" spans="1:25" ht="18.75" customHeight="1" x14ac:dyDescent="0.2">
      <c r="A658" s="444"/>
      <c r="B658" s="1"/>
      <c r="C658" s="1"/>
      <c r="D658" s="1"/>
      <c r="E658" s="1"/>
      <c r="F658" s="1"/>
      <c r="G658" s="445"/>
      <c r="H658" s="1"/>
      <c r="I658" s="446"/>
      <c r="J658" s="1"/>
      <c r="K658" s="1"/>
      <c r="L658" s="1"/>
      <c r="M658" s="431"/>
      <c r="N658" s="1"/>
      <c r="O658" s="1"/>
      <c r="Q658" s="1"/>
      <c r="W658" s="310"/>
      <c r="X658" s="310"/>
      <c r="Y658" s="310"/>
    </row>
    <row r="659" spans="1:25" ht="18.75" customHeight="1" x14ac:dyDescent="0.2">
      <c r="A659" s="444"/>
      <c r="B659" s="1"/>
      <c r="C659" s="1"/>
      <c r="D659" s="1"/>
      <c r="E659" s="1"/>
      <c r="F659" s="1"/>
      <c r="G659" s="445"/>
      <c r="H659" s="1"/>
      <c r="I659" s="446"/>
      <c r="J659" s="1"/>
      <c r="K659" s="1"/>
      <c r="L659" s="1"/>
      <c r="M659" s="431"/>
      <c r="N659" s="1"/>
      <c r="O659" s="1"/>
      <c r="Q659" s="1"/>
      <c r="W659" s="310"/>
      <c r="X659" s="310"/>
      <c r="Y659" s="310"/>
    </row>
    <row r="660" spans="1:25" ht="18.75" customHeight="1" x14ac:dyDescent="0.2">
      <c r="A660" s="444"/>
      <c r="B660" s="1"/>
      <c r="C660" s="1"/>
      <c r="D660" s="1"/>
      <c r="E660" s="1"/>
      <c r="F660" s="1"/>
      <c r="G660" s="445"/>
      <c r="H660" s="1"/>
      <c r="I660" s="446"/>
      <c r="J660" s="1"/>
      <c r="K660" s="1"/>
      <c r="L660" s="1"/>
      <c r="M660" s="431"/>
      <c r="N660" s="1"/>
      <c r="O660" s="1"/>
      <c r="Q660" s="1"/>
      <c r="W660" s="310"/>
      <c r="X660" s="310"/>
      <c r="Y660" s="310"/>
    </row>
    <row r="661" spans="1:25" ht="18.75" customHeight="1" x14ac:dyDescent="0.2">
      <c r="A661" s="444"/>
      <c r="B661" s="1"/>
      <c r="C661" s="1"/>
      <c r="D661" s="1"/>
      <c r="E661" s="1"/>
      <c r="F661" s="1"/>
      <c r="G661" s="445"/>
      <c r="H661" s="1"/>
      <c r="I661" s="446"/>
      <c r="J661" s="1"/>
      <c r="K661" s="1"/>
      <c r="L661" s="1"/>
      <c r="M661" s="431"/>
      <c r="N661" s="1"/>
      <c r="O661" s="1"/>
      <c r="Q661" s="1"/>
      <c r="W661" s="310"/>
      <c r="X661" s="310"/>
      <c r="Y661" s="310"/>
    </row>
    <row r="662" spans="1:25" ht="18.75" customHeight="1" x14ac:dyDescent="0.2">
      <c r="A662" s="444"/>
      <c r="B662" s="1"/>
      <c r="C662" s="1"/>
      <c r="D662" s="1"/>
      <c r="E662" s="1"/>
      <c r="F662" s="1"/>
      <c r="G662" s="445"/>
      <c r="H662" s="1"/>
      <c r="I662" s="446"/>
      <c r="J662" s="1"/>
      <c r="K662" s="1"/>
      <c r="L662" s="1"/>
      <c r="M662" s="431"/>
      <c r="N662" s="1"/>
      <c r="O662" s="1"/>
      <c r="Q662" s="1"/>
      <c r="W662" s="310"/>
      <c r="X662" s="310"/>
      <c r="Y662" s="310"/>
    </row>
    <row r="663" spans="1:25" ht="18.75" customHeight="1" x14ac:dyDescent="0.2">
      <c r="A663" s="444"/>
      <c r="B663" s="1"/>
      <c r="C663" s="1"/>
      <c r="D663" s="1"/>
      <c r="E663" s="1"/>
      <c r="F663" s="1"/>
      <c r="G663" s="445"/>
      <c r="H663" s="1"/>
      <c r="I663" s="446"/>
      <c r="J663" s="1"/>
      <c r="K663" s="1"/>
      <c r="L663" s="1"/>
      <c r="M663" s="431"/>
      <c r="N663" s="1"/>
      <c r="O663" s="1"/>
      <c r="Q663" s="1"/>
      <c r="W663" s="310"/>
      <c r="X663" s="310"/>
      <c r="Y663" s="310"/>
    </row>
    <row r="664" spans="1:25" ht="18.75" customHeight="1" x14ac:dyDescent="0.2">
      <c r="A664" s="444"/>
      <c r="B664" s="1"/>
      <c r="C664" s="1"/>
      <c r="D664" s="1"/>
      <c r="E664" s="1"/>
      <c r="F664" s="1"/>
      <c r="G664" s="445"/>
      <c r="H664" s="1"/>
      <c r="I664" s="446"/>
      <c r="J664" s="1"/>
      <c r="K664" s="1"/>
      <c r="L664" s="1"/>
      <c r="M664" s="431"/>
      <c r="N664" s="1"/>
      <c r="O664" s="1"/>
      <c r="Q664" s="1"/>
      <c r="W664" s="310"/>
      <c r="X664" s="310"/>
      <c r="Y664" s="310"/>
    </row>
    <row r="665" spans="1:25" ht="18.75" customHeight="1" x14ac:dyDescent="0.2">
      <c r="A665" s="444"/>
      <c r="B665" s="1"/>
      <c r="C665" s="1"/>
      <c r="D665" s="1"/>
      <c r="E665" s="1"/>
      <c r="F665" s="1"/>
      <c r="G665" s="445"/>
      <c r="H665" s="1"/>
      <c r="I665" s="446"/>
      <c r="J665" s="1"/>
      <c r="K665" s="1"/>
      <c r="L665" s="1"/>
      <c r="M665" s="431"/>
      <c r="N665" s="1"/>
      <c r="O665" s="1"/>
      <c r="Q665" s="1"/>
      <c r="W665" s="310"/>
      <c r="X665" s="310"/>
      <c r="Y665" s="310"/>
    </row>
    <row r="666" spans="1:25" ht="18.75" customHeight="1" x14ac:dyDescent="0.2">
      <c r="A666" s="444"/>
      <c r="B666" s="1"/>
      <c r="C666" s="1"/>
      <c r="D666" s="1"/>
      <c r="E666" s="1"/>
      <c r="F666" s="1"/>
      <c r="G666" s="445"/>
      <c r="H666" s="1"/>
      <c r="I666" s="446"/>
      <c r="J666" s="1"/>
      <c r="K666" s="1"/>
      <c r="L666" s="1"/>
      <c r="M666" s="431"/>
      <c r="N666" s="1"/>
      <c r="O666" s="1"/>
      <c r="Q666" s="1"/>
      <c r="W666" s="310"/>
      <c r="X666" s="310"/>
      <c r="Y666" s="310"/>
    </row>
    <row r="667" spans="1:25" ht="18.75" customHeight="1" x14ac:dyDescent="0.2">
      <c r="A667" s="444"/>
      <c r="B667" s="1"/>
      <c r="C667" s="1"/>
      <c r="D667" s="1"/>
      <c r="E667" s="1"/>
      <c r="F667" s="1"/>
      <c r="G667" s="445"/>
      <c r="H667" s="1"/>
      <c r="I667" s="446"/>
      <c r="J667" s="1"/>
      <c r="K667" s="1"/>
      <c r="L667" s="1"/>
      <c r="M667" s="431"/>
      <c r="N667" s="1"/>
      <c r="O667" s="1"/>
      <c r="Q667" s="1"/>
      <c r="W667" s="310"/>
      <c r="X667" s="310"/>
      <c r="Y667" s="310"/>
    </row>
    <row r="668" spans="1:25" ht="18.75" customHeight="1" x14ac:dyDescent="0.2">
      <c r="A668" s="444"/>
      <c r="B668" s="1"/>
      <c r="C668" s="1"/>
      <c r="D668" s="1"/>
      <c r="E668" s="1"/>
      <c r="F668" s="1"/>
      <c r="G668" s="445"/>
      <c r="H668" s="1"/>
      <c r="I668" s="446"/>
      <c r="J668" s="1"/>
      <c r="K668" s="1"/>
      <c r="L668" s="1"/>
      <c r="M668" s="431"/>
      <c r="N668" s="1"/>
      <c r="O668" s="1"/>
      <c r="Q668" s="1"/>
      <c r="W668" s="310"/>
      <c r="X668" s="310"/>
      <c r="Y668" s="310"/>
    </row>
    <row r="669" spans="1:25" ht="18.75" customHeight="1" x14ac:dyDescent="0.2">
      <c r="A669" s="444"/>
      <c r="B669" s="1"/>
      <c r="C669" s="1"/>
      <c r="D669" s="1"/>
      <c r="E669" s="1"/>
      <c r="F669" s="1"/>
      <c r="G669" s="445"/>
      <c r="H669" s="1"/>
      <c r="I669" s="446"/>
      <c r="J669" s="1"/>
      <c r="K669" s="1"/>
      <c r="L669" s="1"/>
      <c r="M669" s="431"/>
      <c r="N669" s="1"/>
      <c r="O669" s="1"/>
      <c r="Q669" s="1"/>
      <c r="W669" s="310"/>
      <c r="X669" s="310"/>
      <c r="Y669" s="310"/>
    </row>
    <row r="670" spans="1:25" ht="18.75" customHeight="1" x14ac:dyDescent="0.2">
      <c r="A670" s="444"/>
      <c r="B670" s="1"/>
      <c r="C670" s="1"/>
      <c r="D670" s="1"/>
      <c r="E670" s="1"/>
      <c r="F670" s="1"/>
      <c r="G670" s="445"/>
      <c r="H670" s="1"/>
      <c r="I670" s="446"/>
      <c r="J670" s="1"/>
      <c r="K670" s="1"/>
      <c r="L670" s="1"/>
      <c r="M670" s="431"/>
      <c r="N670" s="1"/>
      <c r="O670" s="1"/>
      <c r="Q670" s="1"/>
      <c r="W670" s="310"/>
      <c r="X670" s="310"/>
      <c r="Y670" s="310"/>
    </row>
    <row r="671" spans="1:25" ht="18.75" customHeight="1" x14ac:dyDescent="0.2">
      <c r="A671" s="444"/>
      <c r="B671" s="1"/>
      <c r="C671" s="1"/>
      <c r="D671" s="1"/>
      <c r="E671" s="1"/>
      <c r="F671" s="1"/>
      <c r="G671" s="445"/>
      <c r="H671" s="1"/>
      <c r="I671" s="446"/>
      <c r="J671" s="1"/>
      <c r="K671" s="1"/>
      <c r="L671" s="1"/>
      <c r="M671" s="431"/>
      <c r="N671" s="1"/>
      <c r="O671" s="1"/>
      <c r="Q671" s="1"/>
      <c r="W671" s="310"/>
      <c r="X671" s="310"/>
      <c r="Y671" s="310"/>
    </row>
    <row r="672" spans="1:25" ht="18.75" customHeight="1" x14ac:dyDescent="0.2">
      <c r="A672" s="444"/>
      <c r="B672" s="1"/>
      <c r="C672" s="1"/>
      <c r="D672" s="1"/>
      <c r="E672" s="1"/>
      <c r="F672" s="1"/>
      <c r="G672" s="445"/>
      <c r="H672" s="1"/>
      <c r="I672" s="446"/>
      <c r="J672" s="1"/>
      <c r="K672" s="1"/>
      <c r="L672" s="1"/>
      <c r="M672" s="431"/>
      <c r="N672" s="1"/>
      <c r="O672" s="1"/>
      <c r="Q672" s="1"/>
      <c r="W672" s="310"/>
      <c r="X672" s="310"/>
      <c r="Y672" s="310"/>
    </row>
    <row r="673" spans="1:25" ht="18.75" customHeight="1" x14ac:dyDescent="0.2">
      <c r="A673" s="444"/>
      <c r="B673" s="1"/>
      <c r="C673" s="1"/>
      <c r="D673" s="1"/>
      <c r="E673" s="1"/>
      <c r="F673" s="1"/>
      <c r="G673" s="445"/>
      <c r="H673" s="1"/>
      <c r="I673" s="446"/>
      <c r="J673" s="1"/>
      <c r="K673" s="1"/>
      <c r="L673" s="1"/>
      <c r="M673" s="431"/>
      <c r="N673" s="1"/>
      <c r="O673" s="1"/>
      <c r="Q673" s="1"/>
      <c r="W673" s="310"/>
      <c r="X673" s="310"/>
      <c r="Y673" s="310"/>
    </row>
    <row r="674" spans="1:25" ht="18.75" customHeight="1" x14ac:dyDescent="0.2">
      <c r="A674" s="444"/>
      <c r="B674" s="1"/>
      <c r="C674" s="1"/>
      <c r="D674" s="1"/>
      <c r="E674" s="1"/>
      <c r="F674" s="1"/>
      <c r="G674" s="445"/>
      <c r="H674" s="1"/>
      <c r="I674" s="446"/>
      <c r="J674" s="1"/>
      <c r="K674" s="1"/>
      <c r="L674" s="1"/>
      <c r="M674" s="431"/>
      <c r="N674" s="1"/>
      <c r="O674" s="1"/>
      <c r="Q674" s="1"/>
      <c r="W674" s="310"/>
      <c r="X674" s="310"/>
      <c r="Y674" s="310"/>
    </row>
    <row r="675" spans="1:25" ht="18.75" customHeight="1" x14ac:dyDescent="0.2">
      <c r="A675" s="444"/>
      <c r="B675" s="1"/>
      <c r="C675" s="1"/>
      <c r="D675" s="1"/>
      <c r="E675" s="1"/>
      <c r="F675" s="1"/>
      <c r="G675" s="445"/>
      <c r="H675" s="1"/>
      <c r="I675" s="446"/>
      <c r="J675" s="1"/>
      <c r="K675" s="1"/>
      <c r="L675" s="1"/>
      <c r="M675" s="431"/>
      <c r="N675" s="1"/>
      <c r="O675" s="1"/>
      <c r="Q675" s="1"/>
      <c r="W675" s="310"/>
      <c r="X675" s="310"/>
      <c r="Y675" s="310"/>
    </row>
    <row r="676" spans="1:25" ht="18.75" customHeight="1" x14ac:dyDescent="0.2">
      <c r="A676" s="444"/>
      <c r="B676" s="1"/>
      <c r="C676" s="1"/>
      <c r="D676" s="1"/>
      <c r="E676" s="1"/>
      <c r="F676" s="1"/>
      <c r="G676" s="445"/>
      <c r="H676" s="1"/>
      <c r="I676" s="446"/>
      <c r="J676" s="1"/>
      <c r="K676" s="1"/>
      <c r="L676" s="1"/>
      <c r="M676" s="431"/>
      <c r="N676" s="1"/>
      <c r="O676" s="1"/>
      <c r="Q676" s="1"/>
      <c r="W676" s="310"/>
      <c r="X676" s="310"/>
      <c r="Y676" s="310"/>
    </row>
    <row r="677" spans="1:25" ht="18.75" customHeight="1" x14ac:dyDescent="0.2">
      <c r="A677" s="444"/>
      <c r="B677" s="1"/>
      <c r="C677" s="1"/>
      <c r="D677" s="1"/>
      <c r="E677" s="1"/>
      <c r="F677" s="1"/>
      <c r="G677" s="445"/>
      <c r="H677" s="1"/>
      <c r="I677" s="446"/>
      <c r="J677" s="1"/>
      <c r="K677" s="1"/>
      <c r="L677" s="1"/>
      <c r="M677" s="431"/>
      <c r="N677" s="1"/>
      <c r="O677" s="1"/>
      <c r="Q677" s="1"/>
      <c r="W677" s="310"/>
      <c r="X677" s="310"/>
      <c r="Y677" s="310"/>
    </row>
    <row r="678" spans="1:25" ht="18.75" customHeight="1" x14ac:dyDescent="0.2">
      <c r="A678" s="444"/>
      <c r="B678" s="1"/>
      <c r="C678" s="1"/>
      <c r="D678" s="1"/>
      <c r="E678" s="1"/>
      <c r="F678" s="1"/>
      <c r="G678" s="445"/>
      <c r="H678" s="1"/>
      <c r="I678" s="446"/>
      <c r="J678" s="1"/>
      <c r="K678" s="1"/>
      <c r="L678" s="1"/>
      <c r="M678" s="431"/>
      <c r="N678" s="1"/>
      <c r="O678" s="1"/>
      <c r="Q678" s="1"/>
      <c r="W678" s="310"/>
      <c r="X678" s="310"/>
      <c r="Y678" s="310"/>
    </row>
    <row r="679" spans="1:25" ht="18.75" customHeight="1" x14ac:dyDescent="0.2">
      <c r="A679" s="444"/>
      <c r="B679" s="1"/>
      <c r="C679" s="1"/>
      <c r="D679" s="1"/>
      <c r="E679" s="1"/>
      <c r="F679" s="1"/>
      <c r="G679" s="445"/>
      <c r="H679" s="1"/>
      <c r="I679" s="446"/>
      <c r="J679" s="1"/>
      <c r="K679" s="1"/>
      <c r="L679" s="1"/>
      <c r="M679" s="431"/>
      <c r="N679" s="1"/>
      <c r="O679" s="1"/>
      <c r="Q679" s="1"/>
      <c r="W679" s="310"/>
      <c r="X679" s="310"/>
      <c r="Y679" s="310"/>
    </row>
    <row r="680" spans="1:25" ht="18.75" customHeight="1" x14ac:dyDescent="0.2">
      <c r="A680" s="444"/>
      <c r="B680" s="1"/>
      <c r="C680" s="1"/>
      <c r="D680" s="1"/>
      <c r="E680" s="1"/>
      <c r="F680" s="1"/>
      <c r="G680" s="445"/>
      <c r="H680" s="1"/>
      <c r="I680" s="446"/>
      <c r="J680" s="1"/>
      <c r="K680" s="1"/>
      <c r="L680" s="1"/>
      <c r="M680" s="431"/>
      <c r="N680" s="1"/>
      <c r="O680" s="1"/>
      <c r="Q680" s="1"/>
      <c r="W680" s="310"/>
      <c r="X680" s="310"/>
      <c r="Y680" s="310"/>
    </row>
    <row r="681" spans="1:25" ht="18.75" customHeight="1" x14ac:dyDescent="0.2">
      <c r="A681" s="444"/>
      <c r="B681" s="1"/>
      <c r="C681" s="1"/>
      <c r="D681" s="1"/>
      <c r="E681" s="1"/>
      <c r="F681" s="1"/>
      <c r="G681" s="445"/>
      <c r="H681" s="1"/>
      <c r="I681" s="446"/>
      <c r="J681" s="1"/>
      <c r="K681" s="1"/>
      <c r="L681" s="1"/>
      <c r="M681" s="431"/>
      <c r="N681" s="1"/>
      <c r="O681" s="1"/>
      <c r="Q681" s="1"/>
      <c r="W681" s="310"/>
      <c r="X681" s="310"/>
      <c r="Y681" s="310"/>
    </row>
    <row r="682" spans="1:25" ht="18.75" customHeight="1" x14ac:dyDescent="0.2">
      <c r="A682" s="444"/>
      <c r="B682" s="1"/>
      <c r="C682" s="1"/>
      <c r="D682" s="1"/>
      <c r="E682" s="1"/>
      <c r="F682" s="1"/>
      <c r="G682" s="445"/>
      <c r="H682" s="1"/>
      <c r="I682" s="446"/>
      <c r="J682" s="1"/>
      <c r="K682" s="1"/>
      <c r="L682" s="1"/>
      <c r="M682" s="431"/>
      <c r="N682" s="1"/>
      <c r="O682" s="1"/>
      <c r="Q682" s="1"/>
      <c r="W682" s="310"/>
      <c r="X682" s="310"/>
      <c r="Y682" s="310"/>
    </row>
    <row r="683" spans="1:25" ht="18.75" customHeight="1" x14ac:dyDescent="0.2">
      <c r="A683" s="444"/>
      <c r="B683" s="1"/>
      <c r="C683" s="1"/>
      <c r="D683" s="1"/>
      <c r="E683" s="1"/>
      <c r="F683" s="1"/>
      <c r="G683" s="445"/>
      <c r="H683" s="1"/>
      <c r="I683" s="446"/>
      <c r="J683" s="1"/>
      <c r="K683" s="1"/>
      <c r="L683" s="1"/>
      <c r="M683" s="431"/>
      <c r="N683" s="1"/>
      <c r="O683" s="1"/>
      <c r="Q683" s="1"/>
      <c r="W683" s="310"/>
      <c r="X683" s="310"/>
      <c r="Y683" s="310"/>
    </row>
    <row r="684" spans="1:25" ht="18.75" customHeight="1" x14ac:dyDescent="0.2">
      <c r="A684" s="444"/>
      <c r="B684" s="1"/>
      <c r="C684" s="1"/>
      <c r="D684" s="1"/>
      <c r="E684" s="1"/>
      <c r="F684" s="1"/>
      <c r="G684" s="445"/>
      <c r="H684" s="1"/>
      <c r="I684" s="446"/>
      <c r="J684" s="1"/>
      <c r="K684" s="1"/>
      <c r="L684" s="1"/>
      <c r="M684" s="431"/>
      <c r="N684" s="1"/>
      <c r="O684" s="1"/>
      <c r="Q684" s="1"/>
      <c r="W684" s="310"/>
      <c r="X684" s="310"/>
      <c r="Y684" s="310"/>
    </row>
    <row r="685" spans="1:25" ht="18.75" customHeight="1" x14ac:dyDescent="0.2">
      <c r="A685" s="444"/>
      <c r="B685" s="1"/>
      <c r="C685" s="1"/>
      <c r="D685" s="1"/>
      <c r="E685" s="1"/>
      <c r="F685" s="1"/>
      <c r="G685" s="445"/>
      <c r="H685" s="1"/>
      <c r="I685" s="446"/>
      <c r="J685" s="1"/>
      <c r="K685" s="1"/>
      <c r="L685" s="1"/>
      <c r="M685" s="431"/>
      <c r="N685" s="1"/>
      <c r="O685" s="1"/>
      <c r="Q685" s="1"/>
      <c r="W685" s="310"/>
      <c r="X685" s="310"/>
      <c r="Y685" s="310"/>
    </row>
    <row r="686" spans="1:25" ht="18.75" customHeight="1" x14ac:dyDescent="0.2">
      <c r="A686" s="444"/>
      <c r="B686" s="1"/>
      <c r="C686" s="1"/>
      <c r="D686" s="1"/>
      <c r="E686" s="1"/>
      <c r="F686" s="1"/>
      <c r="G686" s="445"/>
      <c r="H686" s="1"/>
      <c r="I686" s="446"/>
      <c r="J686" s="1"/>
      <c r="K686" s="1"/>
      <c r="L686" s="1"/>
      <c r="M686" s="431"/>
      <c r="N686" s="1"/>
      <c r="O686" s="1"/>
      <c r="Q686" s="1"/>
      <c r="W686" s="310"/>
      <c r="X686" s="310"/>
      <c r="Y686" s="310"/>
    </row>
    <row r="687" spans="1:25" ht="18.75" customHeight="1" x14ac:dyDescent="0.2">
      <c r="A687" s="444"/>
      <c r="B687" s="1"/>
      <c r="C687" s="1"/>
      <c r="D687" s="1"/>
      <c r="E687" s="1"/>
      <c r="F687" s="1"/>
      <c r="G687" s="445"/>
      <c r="H687" s="1"/>
      <c r="I687" s="446"/>
      <c r="J687" s="1"/>
      <c r="K687" s="1"/>
      <c r="L687" s="1"/>
      <c r="M687" s="431"/>
      <c r="N687" s="1"/>
      <c r="O687" s="1"/>
      <c r="Q687" s="1"/>
      <c r="W687" s="310"/>
      <c r="X687" s="310"/>
      <c r="Y687" s="310"/>
    </row>
    <row r="688" spans="1:25" ht="18.75" customHeight="1" x14ac:dyDescent="0.2">
      <c r="A688" s="444"/>
      <c r="B688" s="1"/>
      <c r="C688" s="1"/>
      <c r="D688" s="1"/>
      <c r="E688" s="1"/>
      <c r="F688" s="1"/>
      <c r="G688" s="445"/>
      <c r="H688" s="1"/>
      <c r="I688" s="446"/>
      <c r="J688" s="1"/>
      <c r="K688" s="1"/>
      <c r="L688" s="1"/>
      <c r="M688" s="431"/>
      <c r="N688" s="1"/>
      <c r="O688" s="1"/>
      <c r="Q688" s="1"/>
      <c r="W688" s="310"/>
      <c r="X688" s="310"/>
      <c r="Y688" s="310"/>
    </row>
    <row r="689" spans="1:25" ht="18.75" customHeight="1" x14ac:dyDescent="0.2">
      <c r="A689" s="444"/>
      <c r="B689" s="1"/>
      <c r="C689" s="1"/>
      <c r="D689" s="1"/>
      <c r="E689" s="1"/>
      <c r="F689" s="1"/>
      <c r="G689" s="445"/>
      <c r="H689" s="1"/>
      <c r="I689" s="446"/>
      <c r="J689" s="1"/>
      <c r="K689" s="1"/>
      <c r="L689" s="1"/>
      <c r="M689" s="431"/>
      <c r="N689" s="1"/>
      <c r="O689" s="1"/>
      <c r="Q689" s="1"/>
      <c r="W689" s="310"/>
      <c r="X689" s="310"/>
      <c r="Y689" s="310"/>
    </row>
    <row r="690" spans="1:25" ht="18.75" customHeight="1" x14ac:dyDescent="0.2">
      <c r="A690" s="444"/>
      <c r="B690" s="1"/>
      <c r="C690" s="1"/>
      <c r="D690" s="1"/>
      <c r="E690" s="1"/>
      <c r="F690" s="1"/>
      <c r="G690" s="445"/>
      <c r="H690" s="1"/>
      <c r="I690" s="446"/>
      <c r="J690" s="1"/>
      <c r="K690" s="1"/>
      <c r="L690" s="1"/>
      <c r="M690" s="431"/>
      <c r="N690" s="1"/>
      <c r="O690" s="1"/>
      <c r="Q690" s="1"/>
      <c r="W690" s="310"/>
      <c r="X690" s="310"/>
      <c r="Y690" s="310"/>
    </row>
    <row r="691" spans="1:25" ht="18.75" customHeight="1" x14ac:dyDescent="0.2">
      <c r="A691" s="444"/>
      <c r="B691" s="1"/>
      <c r="C691" s="1"/>
      <c r="D691" s="1"/>
      <c r="E691" s="1"/>
      <c r="F691" s="1"/>
      <c r="G691" s="445"/>
      <c r="H691" s="1"/>
      <c r="I691" s="446"/>
      <c r="J691" s="1"/>
      <c r="K691" s="1"/>
      <c r="L691" s="1"/>
      <c r="M691" s="431"/>
      <c r="N691" s="1"/>
      <c r="O691" s="1"/>
      <c r="Q691" s="1"/>
      <c r="W691" s="310"/>
      <c r="X691" s="310"/>
      <c r="Y691" s="310"/>
    </row>
    <row r="692" spans="1:25" ht="18.75" customHeight="1" x14ac:dyDescent="0.2">
      <c r="A692" s="444"/>
      <c r="B692" s="1"/>
      <c r="C692" s="1"/>
      <c r="D692" s="1"/>
      <c r="E692" s="1"/>
      <c r="F692" s="1"/>
      <c r="G692" s="445"/>
      <c r="H692" s="1"/>
      <c r="I692" s="446"/>
      <c r="J692" s="1"/>
      <c r="K692" s="1"/>
      <c r="L692" s="1"/>
      <c r="M692" s="431"/>
      <c r="N692" s="1"/>
      <c r="O692" s="1"/>
      <c r="Q692" s="1"/>
      <c r="W692" s="310"/>
      <c r="X692" s="310"/>
      <c r="Y692" s="310"/>
    </row>
    <row r="693" spans="1:25" ht="18.75" customHeight="1" x14ac:dyDescent="0.2">
      <c r="A693" s="444"/>
      <c r="B693" s="1"/>
      <c r="C693" s="1"/>
      <c r="D693" s="1"/>
      <c r="E693" s="1"/>
      <c r="F693" s="1"/>
      <c r="G693" s="445"/>
      <c r="H693" s="1"/>
      <c r="I693" s="446"/>
      <c r="J693" s="1"/>
      <c r="K693" s="1"/>
      <c r="L693" s="1"/>
      <c r="M693" s="431"/>
      <c r="N693" s="1"/>
      <c r="O693" s="1"/>
      <c r="Q693" s="1"/>
      <c r="W693" s="310"/>
      <c r="X693" s="310"/>
      <c r="Y693" s="310"/>
    </row>
    <row r="694" spans="1:25" ht="18.75" customHeight="1" x14ac:dyDescent="0.2">
      <c r="A694" s="444"/>
      <c r="B694" s="1"/>
      <c r="C694" s="1"/>
      <c r="D694" s="1"/>
      <c r="E694" s="1"/>
      <c r="F694" s="1"/>
      <c r="G694" s="445"/>
      <c r="H694" s="1"/>
      <c r="I694" s="446"/>
      <c r="J694" s="1"/>
      <c r="K694" s="1"/>
      <c r="L694" s="1"/>
      <c r="M694" s="431"/>
      <c r="N694" s="1"/>
      <c r="O694" s="1"/>
      <c r="Q694" s="1"/>
      <c r="W694" s="310"/>
      <c r="X694" s="310"/>
      <c r="Y694" s="310"/>
    </row>
    <row r="695" spans="1:25" ht="18.75" customHeight="1" x14ac:dyDescent="0.2">
      <c r="A695" s="444"/>
      <c r="B695" s="1"/>
      <c r="C695" s="1"/>
      <c r="D695" s="1"/>
      <c r="E695" s="1"/>
      <c r="F695" s="1"/>
      <c r="G695" s="445"/>
      <c r="H695" s="1"/>
      <c r="I695" s="446"/>
      <c r="J695" s="1"/>
      <c r="K695" s="1"/>
      <c r="L695" s="1"/>
      <c r="M695" s="431"/>
      <c r="N695" s="1"/>
      <c r="O695" s="1"/>
      <c r="Q695" s="1"/>
      <c r="W695" s="310"/>
      <c r="X695" s="310"/>
      <c r="Y695" s="310"/>
    </row>
    <row r="696" spans="1:25" ht="18.75" customHeight="1" x14ac:dyDescent="0.2">
      <c r="A696" s="444"/>
      <c r="B696" s="1"/>
      <c r="C696" s="1"/>
      <c r="D696" s="1"/>
      <c r="E696" s="1"/>
      <c r="F696" s="1"/>
      <c r="G696" s="445"/>
      <c r="H696" s="1"/>
      <c r="I696" s="446"/>
      <c r="J696" s="1"/>
      <c r="K696" s="1"/>
      <c r="L696" s="1"/>
      <c r="M696" s="431"/>
      <c r="N696" s="1"/>
      <c r="O696" s="1"/>
      <c r="Q696" s="1"/>
      <c r="W696" s="310"/>
      <c r="X696" s="310"/>
      <c r="Y696" s="310"/>
    </row>
    <row r="697" spans="1:25" ht="18.75" customHeight="1" x14ac:dyDescent="0.2">
      <c r="A697" s="444"/>
      <c r="B697" s="1"/>
      <c r="C697" s="1"/>
      <c r="D697" s="1"/>
      <c r="E697" s="1"/>
      <c r="F697" s="1"/>
      <c r="G697" s="445"/>
      <c r="H697" s="1"/>
      <c r="I697" s="446"/>
      <c r="J697" s="1"/>
      <c r="K697" s="1"/>
      <c r="L697" s="1"/>
      <c r="M697" s="431"/>
      <c r="N697" s="1"/>
      <c r="O697" s="1"/>
      <c r="Q697" s="1"/>
      <c r="W697" s="310"/>
      <c r="X697" s="310"/>
      <c r="Y697" s="310"/>
    </row>
    <row r="698" spans="1:25" ht="18.75" customHeight="1" x14ac:dyDescent="0.2">
      <c r="A698" s="444"/>
      <c r="B698" s="1"/>
      <c r="C698" s="1"/>
      <c r="D698" s="1"/>
      <c r="E698" s="1"/>
      <c r="F698" s="1"/>
      <c r="G698" s="445"/>
      <c r="H698" s="1"/>
      <c r="I698" s="446"/>
      <c r="J698" s="1"/>
      <c r="K698" s="1"/>
      <c r="L698" s="1"/>
      <c r="M698" s="431"/>
      <c r="N698" s="1"/>
      <c r="O698" s="1"/>
      <c r="Q698" s="1"/>
      <c r="W698" s="310"/>
      <c r="X698" s="310"/>
      <c r="Y698" s="310"/>
    </row>
    <row r="699" spans="1:25" ht="18.75" customHeight="1" x14ac:dyDescent="0.2">
      <c r="A699" s="444"/>
      <c r="B699" s="1"/>
      <c r="C699" s="1"/>
      <c r="D699" s="1"/>
      <c r="E699" s="1"/>
      <c r="F699" s="1"/>
      <c r="G699" s="445"/>
      <c r="H699" s="1"/>
      <c r="I699" s="446"/>
      <c r="J699" s="1"/>
      <c r="K699" s="1"/>
      <c r="L699" s="1"/>
      <c r="M699" s="431"/>
      <c r="N699" s="1"/>
      <c r="O699" s="1"/>
      <c r="Q699" s="1"/>
      <c r="W699" s="310"/>
      <c r="X699" s="310"/>
      <c r="Y699" s="310"/>
    </row>
    <row r="700" spans="1:25" ht="18.75" customHeight="1" x14ac:dyDescent="0.2">
      <c r="A700" s="444"/>
      <c r="B700" s="1"/>
      <c r="C700" s="1"/>
      <c r="D700" s="1"/>
      <c r="E700" s="1"/>
      <c r="F700" s="1"/>
      <c r="G700" s="445"/>
      <c r="H700" s="1"/>
      <c r="I700" s="446"/>
      <c r="J700" s="1"/>
      <c r="K700" s="1"/>
      <c r="L700" s="1"/>
      <c r="M700" s="431"/>
      <c r="N700" s="1"/>
      <c r="O700" s="1"/>
      <c r="Q700" s="1"/>
      <c r="W700" s="310"/>
      <c r="X700" s="310"/>
      <c r="Y700" s="310"/>
    </row>
    <row r="701" spans="1:25" ht="18.75" customHeight="1" x14ac:dyDescent="0.2">
      <c r="A701" s="444"/>
      <c r="B701" s="1"/>
      <c r="C701" s="1"/>
      <c r="D701" s="1"/>
      <c r="E701" s="1"/>
      <c r="F701" s="1"/>
      <c r="G701" s="445"/>
      <c r="H701" s="1"/>
      <c r="I701" s="446"/>
      <c r="J701" s="1"/>
      <c r="K701" s="1"/>
      <c r="L701" s="1"/>
      <c r="M701" s="431"/>
      <c r="N701" s="1"/>
      <c r="O701" s="1"/>
      <c r="Q701" s="1"/>
      <c r="W701" s="310"/>
      <c r="X701" s="310"/>
      <c r="Y701" s="310"/>
    </row>
    <row r="702" spans="1:25" ht="18.75" customHeight="1" x14ac:dyDescent="0.2">
      <c r="A702" s="444"/>
      <c r="B702" s="1"/>
      <c r="C702" s="1"/>
      <c r="D702" s="1"/>
      <c r="E702" s="1"/>
      <c r="F702" s="1"/>
      <c r="G702" s="445"/>
      <c r="H702" s="1"/>
      <c r="I702" s="446"/>
      <c r="J702" s="1"/>
      <c r="K702" s="1"/>
      <c r="L702" s="1"/>
      <c r="M702" s="431"/>
      <c r="N702" s="1"/>
      <c r="O702" s="1"/>
      <c r="Q702" s="1"/>
      <c r="W702" s="310"/>
      <c r="X702" s="310"/>
      <c r="Y702" s="310"/>
    </row>
    <row r="703" spans="1:25" ht="18.75" customHeight="1" x14ac:dyDescent="0.2">
      <c r="A703" s="444"/>
      <c r="B703" s="1"/>
      <c r="C703" s="1"/>
      <c r="D703" s="1"/>
      <c r="E703" s="1"/>
      <c r="F703" s="1"/>
      <c r="G703" s="445"/>
      <c r="H703" s="1"/>
      <c r="I703" s="446"/>
      <c r="J703" s="1"/>
      <c r="K703" s="1"/>
      <c r="L703" s="1"/>
      <c r="M703" s="431"/>
      <c r="N703" s="1"/>
      <c r="O703" s="1"/>
      <c r="Q703" s="1"/>
      <c r="W703" s="310"/>
      <c r="X703" s="310"/>
      <c r="Y703" s="310"/>
    </row>
    <row r="704" spans="1:25" ht="18.75" customHeight="1" x14ac:dyDescent="0.2">
      <c r="A704" s="444"/>
      <c r="B704" s="1"/>
      <c r="C704" s="1"/>
      <c r="D704" s="1"/>
      <c r="E704" s="1"/>
      <c r="F704" s="1"/>
      <c r="G704" s="445"/>
      <c r="H704" s="1"/>
      <c r="I704" s="446"/>
      <c r="J704" s="1"/>
      <c r="K704" s="1"/>
      <c r="L704" s="1"/>
      <c r="M704" s="431"/>
      <c r="N704" s="1"/>
      <c r="O704" s="1"/>
      <c r="Q704" s="1"/>
      <c r="W704" s="310"/>
      <c r="X704" s="310"/>
      <c r="Y704" s="310"/>
    </row>
    <row r="705" spans="1:25" ht="18.75" customHeight="1" x14ac:dyDescent="0.2">
      <c r="A705" s="444"/>
      <c r="B705" s="1"/>
      <c r="C705" s="1"/>
      <c r="D705" s="1"/>
      <c r="E705" s="1"/>
      <c r="F705" s="1"/>
      <c r="G705" s="445"/>
      <c r="H705" s="1"/>
      <c r="I705" s="446"/>
      <c r="J705" s="1"/>
      <c r="K705" s="1"/>
      <c r="L705" s="1"/>
      <c r="M705" s="431"/>
      <c r="N705" s="1"/>
      <c r="O705" s="1"/>
      <c r="Q705" s="1"/>
      <c r="W705" s="310"/>
      <c r="X705" s="310"/>
      <c r="Y705" s="310"/>
    </row>
    <row r="706" spans="1:25" ht="18.75" customHeight="1" x14ac:dyDescent="0.2">
      <c r="A706" s="444"/>
      <c r="B706" s="1"/>
      <c r="C706" s="1"/>
      <c r="D706" s="1"/>
      <c r="E706" s="1"/>
      <c r="F706" s="1"/>
      <c r="G706" s="445"/>
      <c r="H706" s="1"/>
      <c r="I706" s="446"/>
      <c r="J706" s="1"/>
      <c r="K706" s="1"/>
      <c r="L706" s="1"/>
      <c r="M706" s="431"/>
      <c r="N706" s="1"/>
      <c r="O706" s="1"/>
      <c r="Q706" s="1"/>
      <c r="W706" s="310"/>
      <c r="X706" s="310"/>
      <c r="Y706" s="310"/>
    </row>
    <row r="707" spans="1:25" ht="18.75" customHeight="1" x14ac:dyDescent="0.2">
      <c r="A707" s="444"/>
      <c r="B707" s="1"/>
      <c r="C707" s="1"/>
      <c r="D707" s="1"/>
      <c r="E707" s="1"/>
      <c r="F707" s="1"/>
      <c r="G707" s="445"/>
      <c r="H707" s="1"/>
      <c r="I707" s="446"/>
      <c r="J707" s="1"/>
      <c r="K707" s="1"/>
      <c r="L707" s="1"/>
      <c r="M707" s="431"/>
      <c r="N707" s="1"/>
      <c r="O707" s="1"/>
      <c r="Q707" s="1"/>
      <c r="W707" s="310"/>
      <c r="X707" s="310"/>
      <c r="Y707" s="310"/>
    </row>
    <row r="708" spans="1:25" ht="18.75" customHeight="1" x14ac:dyDescent="0.2">
      <c r="A708" s="444"/>
      <c r="B708" s="1"/>
      <c r="C708" s="1"/>
      <c r="D708" s="1"/>
      <c r="E708" s="1"/>
      <c r="F708" s="1"/>
      <c r="G708" s="445"/>
      <c r="H708" s="1"/>
      <c r="I708" s="446"/>
      <c r="J708" s="1"/>
      <c r="K708" s="1"/>
      <c r="L708" s="1"/>
      <c r="M708" s="431"/>
      <c r="N708" s="1"/>
      <c r="O708" s="1"/>
      <c r="Q708" s="1"/>
      <c r="W708" s="310"/>
      <c r="X708" s="310"/>
      <c r="Y708" s="310"/>
    </row>
    <row r="709" spans="1:25" ht="18.75" customHeight="1" x14ac:dyDescent="0.2">
      <c r="A709" s="444"/>
      <c r="B709" s="1"/>
      <c r="C709" s="1"/>
      <c r="D709" s="1"/>
      <c r="E709" s="1"/>
      <c r="F709" s="1"/>
      <c r="G709" s="445"/>
      <c r="H709" s="1"/>
      <c r="I709" s="446"/>
      <c r="J709" s="1"/>
      <c r="K709" s="1"/>
      <c r="L709" s="1"/>
      <c r="M709" s="431"/>
      <c r="N709" s="1"/>
      <c r="O709" s="1"/>
      <c r="Q709" s="1"/>
      <c r="W709" s="310"/>
      <c r="X709" s="310"/>
      <c r="Y709" s="310"/>
    </row>
    <row r="710" spans="1:25" ht="18.75" customHeight="1" x14ac:dyDescent="0.2">
      <c r="A710" s="444"/>
      <c r="B710" s="1"/>
      <c r="C710" s="1"/>
      <c r="D710" s="1"/>
      <c r="E710" s="1"/>
      <c r="F710" s="1"/>
      <c r="G710" s="445"/>
      <c r="H710" s="1"/>
      <c r="I710" s="446"/>
      <c r="J710" s="1"/>
      <c r="K710" s="1"/>
      <c r="L710" s="1"/>
      <c r="M710" s="431"/>
      <c r="N710" s="1"/>
      <c r="O710" s="1"/>
      <c r="Q710" s="1"/>
      <c r="W710" s="310"/>
      <c r="X710" s="310"/>
      <c r="Y710" s="310"/>
    </row>
    <row r="711" spans="1:25" ht="18.75" customHeight="1" x14ac:dyDescent="0.2">
      <c r="A711" s="444"/>
      <c r="B711" s="1"/>
      <c r="C711" s="1"/>
      <c r="D711" s="1"/>
      <c r="E711" s="1"/>
      <c r="F711" s="1"/>
      <c r="G711" s="445"/>
      <c r="H711" s="1"/>
      <c r="I711" s="446"/>
      <c r="J711" s="1"/>
      <c r="K711" s="1"/>
      <c r="L711" s="1"/>
      <c r="M711" s="431"/>
      <c r="N711" s="1"/>
      <c r="O711" s="1"/>
      <c r="Q711" s="1"/>
      <c r="W711" s="310"/>
      <c r="X711" s="310"/>
      <c r="Y711" s="310"/>
    </row>
    <row r="712" spans="1:25" ht="18.75" customHeight="1" x14ac:dyDescent="0.2">
      <c r="A712" s="444"/>
      <c r="B712" s="1"/>
      <c r="C712" s="1"/>
      <c r="D712" s="1"/>
      <c r="E712" s="1"/>
      <c r="F712" s="1"/>
      <c r="G712" s="445"/>
      <c r="H712" s="1"/>
      <c r="I712" s="446"/>
      <c r="J712" s="1"/>
      <c r="K712" s="1"/>
      <c r="L712" s="1"/>
      <c r="M712" s="431"/>
      <c r="N712" s="1"/>
      <c r="O712" s="1"/>
      <c r="Q712" s="1"/>
      <c r="W712" s="310"/>
      <c r="X712" s="310"/>
      <c r="Y712" s="310"/>
    </row>
    <row r="713" spans="1:25" ht="18.75" customHeight="1" x14ac:dyDescent="0.2">
      <c r="A713" s="444"/>
      <c r="B713" s="1"/>
      <c r="C713" s="1"/>
      <c r="D713" s="1"/>
      <c r="E713" s="1"/>
      <c r="F713" s="1"/>
      <c r="G713" s="445"/>
      <c r="H713" s="1"/>
      <c r="I713" s="446"/>
      <c r="J713" s="1"/>
      <c r="K713" s="1"/>
      <c r="L713" s="1"/>
      <c r="M713" s="431"/>
      <c r="N713" s="1"/>
      <c r="O713" s="1"/>
      <c r="Q713" s="1"/>
      <c r="W713" s="310"/>
      <c r="X713" s="310"/>
      <c r="Y713" s="310"/>
    </row>
    <row r="714" spans="1:25" ht="18.75" customHeight="1" x14ac:dyDescent="0.2">
      <c r="A714" s="444"/>
      <c r="B714" s="1"/>
      <c r="C714" s="1"/>
      <c r="D714" s="1"/>
      <c r="E714" s="1"/>
      <c r="F714" s="1"/>
      <c r="G714" s="445"/>
      <c r="H714" s="1"/>
      <c r="I714" s="446"/>
      <c r="J714" s="1"/>
      <c r="K714" s="1"/>
      <c r="L714" s="1"/>
      <c r="M714" s="431"/>
      <c r="N714" s="1"/>
      <c r="O714" s="1"/>
      <c r="Q714" s="1"/>
      <c r="W714" s="310"/>
      <c r="X714" s="310"/>
      <c r="Y714" s="310"/>
    </row>
    <row r="715" spans="1:25" ht="18.75" customHeight="1" x14ac:dyDescent="0.2">
      <c r="A715" s="444"/>
      <c r="B715" s="1"/>
      <c r="C715" s="1"/>
      <c r="D715" s="1"/>
      <c r="E715" s="1"/>
      <c r="F715" s="1"/>
      <c r="G715" s="445"/>
      <c r="H715" s="1"/>
      <c r="I715" s="446"/>
      <c r="J715" s="1"/>
      <c r="K715" s="1"/>
      <c r="L715" s="1"/>
      <c r="M715" s="431"/>
      <c r="N715" s="1"/>
      <c r="O715" s="1"/>
      <c r="Q715" s="1"/>
      <c r="W715" s="310"/>
      <c r="X715" s="310"/>
      <c r="Y715" s="310"/>
    </row>
    <row r="716" spans="1:25" ht="18.75" customHeight="1" x14ac:dyDescent="0.2">
      <c r="A716" s="444"/>
      <c r="B716" s="1"/>
      <c r="C716" s="1"/>
      <c r="D716" s="1"/>
      <c r="E716" s="1"/>
      <c r="F716" s="1"/>
      <c r="G716" s="445"/>
      <c r="H716" s="1"/>
      <c r="I716" s="446"/>
      <c r="J716" s="1"/>
      <c r="K716" s="1"/>
      <c r="L716" s="1"/>
      <c r="M716" s="431"/>
      <c r="N716" s="1"/>
      <c r="O716" s="1"/>
      <c r="Q716" s="1"/>
      <c r="W716" s="310"/>
      <c r="X716" s="310"/>
      <c r="Y716" s="310"/>
    </row>
    <row r="717" spans="1:25" ht="18.75" customHeight="1" x14ac:dyDescent="0.2">
      <c r="A717" s="444"/>
      <c r="B717" s="1"/>
      <c r="C717" s="1"/>
      <c r="D717" s="1"/>
      <c r="E717" s="1"/>
      <c r="F717" s="1"/>
      <c r="G717" s="445"/>
      <c r="H717" s="1"/>
      <c r="I717" s="446"/>
      <c r="J717" s="1"/>
      <c r="K717" s="1"/>
      <c r="L717" s="1"/>
      <c r="M717" s="431"/>
      <c r="N717" s="1"/>
      <c r="O717" s="1"/>
      <c r="Q717" s="1"/>
      <c r="W717" s="310"/>
      <c r="X717" s="310"/>
      <c r="Y717" s="310"/>
    </row>
    <row r="718" spans="1:25" ht="18.75" customHeight="1" x14ac:dyDescent="0.2">
      <c r="A718" s="444"/>
      <c r="B718" s="1"/>
      <c r="C718" s="1"/>
      <c r="D718" s="1"/>
      <c r="E718" s="1"/>
      <c r="F718" s="1"/>
      <c r="G718" s="445"/>
      <c r="H718" s="1"/>
      <c r="I718" s="446"/>
      <c r="J718" s="1"/>
      <c r="K718" s="1"/>
      <c r="L718" s="1"/>
      <c r="M718" s="431"/>
      <c r="N718" s="1"/>
      <c r="O718" s="1"/>
      <c r="Q718" s="1"/>
      <c r="W718" s="310"/>
      <c r="X718" s="310"/>
      <c r="Y718" s="310"/>
    </row>
    <row r="719" spans="1:25" ht="18.75" customHeight="1" x14ac:dyDescent="0.2">
      <c r="A719" s="444"/>
      <c r="B719" s="1"/>
      <c r="C719" s="1"/>
      <c r="D719" s="1"/>
      <c r="E719" s="1"/>
      <c r="F719" s="1"/>
      <c r="G719" s="445"/>
      <c r="H719" s="1"/>
      <c r="I719" s="446"/>
      <c r="J719" s="1"/>
      <c r="K719" s="1"/>
      <c r="L719" s="1"/>
      <c r="M719" s="431"/>
      <c r="N719" s="1"/>
      <c r="O719" s="1"/>
      <c r="Q719" s="1"/>
      <c r="W719" s="310"/>
      <c r="X719" s="310"/>
      <c r="Y719" s="310"/>
    </row>
    <row r="720" spans="1:25" ht="18.75" customHeight="1" x14ac:dyDescent="0.2">
      <c r="A720" s="444"/>
      <c r="B720" s="1"/>
      <c r="C720" s="1"/>
      <c r="D720" s="1"/>
      <c r="E720" s="1"/>
      <c r="F720" s="1"/>
      <c r="G720" s="445"/>
      <c r="H720" s="1"/>
      <c r="I720" s="446"/>
      <c r="J720" s="1"/>
      <c r="K720" s="1"/>
      <c r="L720" s="1"/>
      <c r="M720" s="431"/>
      <c r="N720" s="1"/>
      <c r="O720" s="1"/>
      <c r="Q720" s="1"/>
      <c r="W720" s="310"/>
      <c r="X720" s="310"/>
      <c r="Y720" s="310"/>
    </row>
    <row r="721" spans="1:25" ht="18.75" customHeight="1" x14ac:dyDescent="0.2">
      <c r="A721" s="444"/>
      <c r="B721" s="1"/>
      <c r="C721" s="1"/>
      <c r="D721" s="1"/>
      <c r="E721" s="1"/>
      <c r="F721" s="1"/>
      <c r="G721" s="445"/>
      <c r="H721" s="1"/>
      <c r="I721" s="446"/>
      <c r="J721" s="1"/>
      <c r="K721" s="1"/>
      <c r="L721" s="1"/>
      <c r="M721" s="431"/>
      <c r="N721" s="1"/>
      <c r="O721" s="1"/>
      <c r="Q721" s="1"/>
      <c r="W721" s="310"/>
      <c r="X721" s="310"/>
      <c r="Y721" s="310"/>
    </row>
    <row r="722" spans="1:25" ht="18.75" customHeight="1" x14ac:dyDescent="0.2">
      <c r="A722" s="444"/>
      <c r="B722" s="1"/>
      <c r="C722" s="1"/>
      <c r="D722" s="1"/>
      <c r="E722" s="1"/>
      <c r="F722" s="1"/>
      <c r="G722" s="445"/>
      <c r="H722" s="1"/>
      <c r="I722" s="446"/>
      <c r="J722" s="1"/>
      <c r="K722" s="1"/>
      <c r="L722" s="1"/>
      <c r="M722" s="431"/>
      <c r="N722" s="1"/>
      <c r="O722" s="1"/>
      <c r="Q722" s="1"/>
      <c r="W722" s="310"/>
      <c r="X722" s="310"/>
      <c r="Y722" s="310"/>
    </row>
    <row r="723" spans="1:25" ht="18.75" customHeight="1" x14ac:dyDescent="0.2">
      <c r="A723" s="444"/>
      <c r="B723" s="1"/>
      <c r="C723" s="1"/>
      <c r="D723" s="1"/>
      <c r="E723" s="1"/>
      <c r="F723" s="1"/>
      <c r="G723" s="445"/>
      <c r="H723" s="1"/>
      <c r="I723" s="446"/>
      <c r="J723" s="1"/>
      <c r="K723" s="1"/>
      <c r="L723" s="1"/>
      <c r="M723" s="431"/>
      <c r="N723" s="1"/>
      <c r="O723" s="1"/>
      <c r="Q723" s="1"/>
      <c r="W723" s="310"/>
      <c r="X723" s="310"/>
      <c r="Y723" s="310"/>
    </row>
    <row r="724" spans="1:25" ht="18.75" customHeight="1" x14ac:dyDescent="0.2">
      <c r="A724" s="444"/>
      <c r="B724" s="1"/>
      <c r="C724" s="1"/>
      <c r="D724" s="1"/>
      <c r="E724" s="1"/>
      <c r="F724" s="1"/>
      <c r="G724" s="445"/>
      <c r="H724" s="1"/>
      <c r="I724" s="446"/>
      <c r="J724" s="1"/>
      <c r="K724" s="1"/>
      <c r="L724" s="1"/>
      <c r="M724" s="431"/>
      <c r="N724" s="1"/>
      <c r="O724" s="1"/>
      <c r="Q724" s="1"/>
      <c r="W724" s="310"/>
      <c r="X724" s="310"/>
      <c r="Y724" s="310"/>
    </row>
    <row r="725" spans="1:25" ht="18.75" customHeight="1" x14ac:dyDescent="0.2">
      <c r="A725" s="444"/>
      <c r="B725" s="1"/>
      <c r="C725" s="1"/>
      <c r="D725" s="1"/>
      <c r="E725" s="1"/>
      <c r="F725" s="1"/>
      <c r="G725" s="445"/>
      <c r="H725" s="1"/>
      <c r="I725" s="446"/>
      <c r="J725" s="1"/>
      <c r="K725" s="1"/>
      <c r="L725" s="1"/>
      <c r="M725" s="431"/>
      <c r="N725" s="1"/>
      <c r="O725" s="1"/>
      <c r="Q725" s="1"/>
      <c r="W725" s="310"/>
      <c r="X725" s="310"/>
      <c r="Y725" s="310"/>
    </row>
    <row r="726" spans="1:25" ht="18.75" customHeight="1" x14ac:dyDescent="0.2">
      <c r="A726" s="444"/>
      <c r="B726" s="1"/>
      <c r="C726" s="1"/>
      <c r="D726" s="1"/>
      <c r="E726" s="1"/>
      <c r="F726" s="1"/>
      <c r="G726" s="445"/>
      <c r="H726" s="1"/>
      <c r="I726" s="446"/>
      <c r="J726" s="1"/>
      <c r="K726" s="1"/>
      <c r="L726" s="1"/>
      <c r="M726" s="431"/>
      <c r="N726" s="1"/>
      <c r="O726" s="1"/>
      <c r="Q726" s="1"/>
      <c r="W726" s="310"/>
      <c r="X726" s="310"/>
      <c r="Y726" s="310"/>
    </row>
    <row r="727" spans="1:25" ht="18.75" customHeight="1" x14ac:dyDescent="0.2">
      <c r="A727" s="444"/>
      <c r="B727" s="1"/>
      <c r="C727" s="1"/>
      <c r="D727" s="1"/>
      <c r="E727" s="1"/>
      <c r="F727" s="1"/>
      <c r="G727" s="445"/>
      <c r="H727" s="1"/>
      <c r="I727" s="446"/>
      <c r="J727" s="1"/>
      <c r="K727" s="1"/>
      <c r="L727" s="1"/>
      <c r="M727" s="431"/>
      <c r="N727" s="1"/>
      <c r="O727" s="1"/>
      <c r="Q727" s="1"/>
      <c r="W727" s="310"/>
      <c r="X727" s="310"/>
      <c r="Y727" s="310"/>
    </row>
    <row r="728" spans="1:25" ht="18.75" customHeight="1" x14ac:dyDescent="0.2">
      <c r="A728" s="444"/>
      <c r="B728" s="1"/>
      <c r="C728" s="1"/>
      <c r="D728" s="1"/>
      <c r="E728" s="1"/>
      <c r="F728" s="1"/>
      <c r="G728" s="445"/>
      <c r="H728" s="1"/>
      <c r="I728" s="446"/>
      <c r="J728" s="1"/>
      <c r="K728" s="1"/>
      <c r="L728" s="1"/>
      <c r="M728" s="431"/>
      <c r="N728" s="1"/>
      <c r="O728" s="1"/>
      <c r="Q728" s="1"/>
      <c r="W728" s="310"/>
      <c r="X728" s="310"/>
      <c r="Y728" s="310"/>
    </row>
    <row r="729" spans="1:25" ht="18.75" customHeight="1" x14ac:dyDescent="0.2">
      <c r="A729" s="444"/>
      <c r="B729" s="1"/>
      <c r="C729" s="1"/>
      <c r="D729" s="1"/>
      <c r="E729" s="1"/>
      <c r="F729" s="1"/>
      <c r="G729" s="445"/>
      <c r="H729" s="1"/>
      <c r="I729" s="446"/>
      <c r="J729" s="1"/>
      <c r="K729" s="1"/>
      <c r="L729" s="1"/>
      <c r="M729" s="431"/>
      <c r="N729" s="1"/>
      <c r="O729" s="1"/>
      <c r="Q729" s="1"/>
      <c r="W729" s="310"/>
      <c r="X729" s="310"/>
      <c r="Y729" s="310"/>
    </row>
    <row r="730" spans="1:25" ht="18.75" customHeight="1" x14ac:dyDescent="0.2">
      <c r="A730" s="444"/>
      <c r="B730" s="1"/>
      <c r="C730" s="1"/>
      <c r="D730" s="1"/>
      <c r="E730" s="1"/>
      <c r="F730" s="1"/>
      <c r="G730" s="445"/>
      <c r="H730" s="1"/>
      <c r="I730" s="446"/>
      <c r="J730" s="1"/>
      <c r="K730" s="1"/>
      <c r="L730" s="1"/>
      <c r="M730" s="431"/>
      <c r="N730" s="1"/>
      <c r="O730" s="1"/>
      <c r="Q730" s="1"/>
      <c r="W730" s="310"/>
      <c r="X730" s="310"/>
      <c r="Y730" s="310"/>
    </row>
    <row r="731" spans="1:25" ht="18.75" customHeight="1" x14ac:dyDescent="0.2">
      <c r="A731" s="444"/>
      <c r="B731" s="1"/>
      <c r="C731" s="1"/>
      <c r="D731" s="1"/>
      <c r="E731" s="1"/>
      <c r="F731" s="1"/>
      <c r="G731" s="445"/>
      <c r="H731" s="1"/>
      <c r="I731" s="446"/>
      <c r="J731" s="1"/>
      <c r="K731" s="1"/>
      <c r="L731" s="1"/>
      <c r="M731" s="431"/>
      <c r="N731" s="1"/>
      <c r="O731" s="1"/>
      <c r="Q731" s="1"/>
      <c r="W731" s="310"/>
      <c r="X731" s="310"/>
      <c r="Y731" s="310"/>
    </row>
    <row r="732" spans="1:25" ht="18.75" customHeight="1" x14ac:dyDescent="0.2">
      <c r="A732" s="444"/>
      <c r="B732" s="1"/>
      <c r="C732" s="1"/>
      <c r="D732" s="1"/>
      <c r="E732" s="1"/>
      <c r="F732" s="1"/>
      <c r="G732" s="445"/>
      <c r="H732" s="1"/>
      <c r="I732" s="446"/>
      <c r="J732" s="1"/>
      <c r="K732" s="1"/>
      <c r="L732" s="1"/>
      <c r="M732" s="431"/>
      <c r="N732" s="1"/>
      <c r="O732" s="1"/>
      <c r="Q732" s="1"/>
      <c r="W732" s="310"/>
      <c r="X732" s="310"/>
      <c r="Y732" s="310"/>
    </row>
    <row r="733" spans="1:25" ht="18.75" customHeight="1" x14ac:dyDescent="0.2">
      <c r="A733" s="444"/>
      <c r="B733" s="1"/>
      <c r="C733" s="1"/>
      <c r="D733" s="1"/>
      <c r="E733" s="1"/>
      <c r="F733" s="1"/>
      <c r="G733" s="445"/>
      <c r="H733" s="1"/>
      <c r="I733" s="446"/>
      <c r="J733" s="1"/>
      <c r="K733" s="1"/>
      <c r="L733" s="1"/>
      <c r="M733" s="431"/>
      <c r="N733" s="1"/>
      <c r="O733" s="1"/>
      <c r="Q733" s="1"/>
      <c r="W733" s="310"/>
      <c r="X733" s="310"/>
      <c r="Y733" s="310"/>
    </row>
    <row r="734" spans="1:25" ht="18.75" customHeight="1" x14ac:dyDescent="0.2">
      <c r="A734" s="444"/>
      <c r="B734" s="1"/>
      <c r="C734" s="1"/>
      <c r="D734" s="1"/>
      <c r="E734" s="1"/>
      <c r="F734" s="1"/>
      <c r="G734" s="445"/>
      <c r="H734" s="1"/>
      <c r="I734" s="446"/>
      <c r="J734" s="1"/>
      <c r="K734" s="1"/>
      <c r="L734" s="1"/>
      <c r="M734" s="431"/>
      <c r="N734" s="1"/>
      <c r="O734" s="1"/>
      <c r="Q734" s="1"/>
      <c r="W734" s="310"/>
      <c r="X734" s="310"/>
      <c r="Y734" s="310"/>
    </row>
    <row r="735" spans="1:25" ht="18.75" customHeight="1" x14ac:dyDescent="0.2">
      <c r="A735" s="444"/>
      <c r="B735" s="1"/>
      <c r="C735" s="1"/>
      <c r="D735" s="1"/>
      <c r="E735" s="1"/>
      <c r="F735" s="1"/>
      <c r="G735" s="445"/>
      <c r="H735" s="1"/>
      <c r="I735" s="446"/>
      <c r="J735" s="1"/>
      <c r="K735" s="1"/>
      <c r="L735" s="1"/>
      <c r="M735" s="431"/>
      <c r="N735" s="1"/>
      <c r="O735" s="1"/>
      <c r="Q735" s="1"/>
      <c r="W735" s="310"/>
      <c r="X735" s="310"/>
      <c r="Y735" s="310"/>
    </row>
    <row r="736" spans="1:25" ht="18.75" customHeight="1" x14ac:dyDescent="0.2">
      <c r="A736" s="444"/>
      <c r="B736" s="1"/>
      <c r="C736" s="1"/>
      <c r="D736" s="1"/>
      <c r="E736" s="1"/>
      <c r="F736" s="1"/>
      <c r="G736" s="445"/>
      <c r="H736" s="1"/>
      <c r="I736" s="446"/>
      <c r="J736" s="1"/>
      <c r="K736" s="1"/>
      <c r="L736" s="1"/>
      <c r="M736" s="431"/>
      <c r="N736" s="1"/>
      <c r="O736" s="1"/>
      <c r="Q736" s="1"/>
      <c r="W736" s="310"/>
      <c r="X736" s="310"/>
      <c r="Y736" s="310"/>
    </row>
    <row r="737" spans="1:25" ht="18.75" customHeight="1" x14ac:dyDescent="0.2">
      <c r="A737" s="444"/>
      <c r="B737" s="1"/>
      <c r="C737" s="1"/>
      <c r="D737" s="1"/>
      <c r="E737" s="1"/>
      <c r="F737" s="1"/>
      <c r="G737" s="445"/>
      <c r="H737" s="1"/>
      <c r="I737" s="446"/>
      <c r="J737" s="1"/>
      <c r="K737" s="1"/>
      <c r="L737" s="1"/>
      <c r="M737" s="431"/>
      <c r="N737" s="1"/>
      <c r="O737" s="1"/>
      <c r="Q737" s="1"/>
      <c r="W737" s="310"/>
      <c r="X737" s="310"/>
      <c r="Y737" s="310"/>
    </row>
    <row r="738" spans="1:25" ht="18.75" customHeight="1" x14ac:dyDescent="0.2">
      <c r="A738" s="444"/>
      <c r="B738" s="1"/>
      <c r="C738" s="1"/>
      <c r="D738" s="1"/>
      <c r="E738" s="1"/>
      <c r="F738" s="1"/>
      <c r="G738" s="445"/>
      <c r="H738" s="1"/>
      <c r="I738" s="446"/>
      <c r="J738" s="1"/>
      <c r="K738" s="1"/>
      <c r="L738" s="1"/>
      <c r="M738" s="431"/>
      <c r="N738" s="1"/>
      <c r="O738" s="1"/>
      <c r="Q738" s="1"/>
      <c r="W738" s="310"/>
      <c r="X738" s="310"/>
      <c r="Y738" s="310"/>
    </row>
    <row r="739" spans="1:25" ht="18.75" customHeight="1" x14ac:dyDescent="0.2">
      <c r="A739" s="444"/>
      <c r="B739" s="1"/>
      <c r="C739" s="1"/>
      <c r="D739" s="1"/>
      <c r="E739" s="1"/>
      <c r="F739" s="1"/>
      <c r="G739" s="445"/>
      <c r="H739" s="1"/>
      <c r="I739" s="446"/>
      <c r="J739" s="1"/>
      <c r="K739" s="1"/>
      <c r="L739" s="1"/>
      <c r="M739" s="431"/>
      <c r="N739" s="1"/>
      <c r="O739" s="1"/>
      <c r="Q739" s="1"/>
      <c r="W739" s="310"/>
      <c r="X739" s="310"/>
      <c r="Y739" s="310"/>
    </row>
    <row r="740" spans="1:25" ht="18.75" customHeight="1" x14ac:dyDescent="0.2">
      <c r="A740" s="444"/>
      <c r="B740" s="1"/>
      <c r="C740" s="1"/>
      <c r="D740" s="1"/>
      <c r="E740" s="1"/>
      <c r="F740" s="1"/>
      <c r="G740" s="445"/>
      <c r="H740" s="1"/>
      <c r="I740" s="446"/>
      <c r="J740" s="1"/>
      <c r="K740" s="1"/>
      <c r="L740" s="1"/>
      <c r="M740" s="431"/>
      <c r="N740" s="1"/>
      <c r="O740" s="1"/>
      <c r="Q740" s="1"/>
      <c r="W740" s="310"/>
      <c r="X740" s="310"/>
      <c r="Y740" s="310"/>
    </row>
    <row r="741" spans="1:25" ht="18.75" customHeight="1" x14ac:dyDescent="0.2">
      <c r="A741" s="444"/>
      <c r="B741" s="1"/>
      <c r="C741" s="1"/>
      <c r="D741" s="1"/>
      <c r="E741" s="1"/>
      <c r="F741" s="1"/>
      <c r="G741" s="445"/>
      <c r="H741" s="1"/>
      <c r="I741" s="446"/>
      <c r="J741" s="1"/>
      <c r="K741" s="1"/>
      <c r="L741" s="1"/>
      <c r="M741" s="431"/>
      <c r="N741" s="1"/>
      <c r="O741" s="1"/>
      <c r="Q741" s="1"/>
      <c r="W741" s="310"/>
      <c r="X741" s="310"/>
      <c r="Y741" s="310"/>
    </row>
    <row r="742" spans="1:25" ht="18.75" customHeight="1" x14ac:dyDescent="0.2">
      <c r="A742" s="444"/>
      <c r="B742" s="1"/>
      <c r="C742" s="1"/>
      <c r="D742" s="1"/>
      <c r="E742" s="1"/>
      <c r="F742" s="1"/>
      <c r="G742" s="445"/>
      <c r="H742" s="1"/>
      <c r="I742" s="446"/>
      <c r="J742" s="1"/>
      <c r="K742" s="1"/>
      <c r="L742" s="1"/>
      <c r="M742" s="431"/>
      <c r="N742" s="1"/>
      <c r="O742" s="1"/>
      <c r="Q742" s="1"/>
      <c r="W742" s="310"/>
      <c r="X742" s="310"/>
      <c r="Y742" s="310"/>
    </row>
    <row r="743" spans="1:25" ht="18.75" customHeight="1" x14ac:dyDescent="0.2">
      <c r="A743" s="444"/>
      <c r="B743" s="1"/>
      <c r="C743" s="1"/>
      <c r="D743" s="1"/>
      <c r="E743" s="1"/>
      <c r="F743" s="1"/>
      <c r="G743" s="445"/>
      <c r="H743" s="1"/>
      <c r="I743" s="446"/>
      <c r="J743" s="1"/>
      <c r="K743" s="1"/>
      <c r="L743" s="1"/>
      <c r="M743" s="431"/>
      <c r="N743" s="1"/>
      <c r="O743" s="1"/>
      <c r="Q743" s="1"/>
      <c r="W743" s="310"/>
      <c r="X743" s="310"/>
      <c r="Y743" s="310"/>
    </row>
    <row r="744" spans="1:25" ht="18.75" customHeight="1" x14ac:dyDescent="0.2">
      <c r="A744" s="444"/>
      <c r="B744" s="1"/>
      <c r="C744" s="1"/>
      <c r="D744" s="1"/>
      <c r="E744" s="1"/>
      <c r="F744" s="1"/>
      <c r="G744" s="445"/>
      <c r="H744" s="1"/>
      <c r="I744" s="446"/>
      <c r="J744" s="1"/>
      <c r="K744" s="1"/>
      <c r="L744" s="1"/>
      <c r="M744" s="431"/>
      <c r="N744" s="1"/>
      <c r="O744" s="1"/>
      <c r="Q744" s="1"/>
      <c r="W744" s="310"/>
      <c r="X744" s="310"/>
      <c r="Y744" s="310"/>
    </row>
    <row r="745" spans="1:25" ht="18.75" customHeight="1" x14ac:dyDescent="0.2">
      <c r="A745" s="444"/>
      <c r="B745" s="1"/>
      <c r="C745" s="1"/>
      <c r="D745" s="1"/>
      <c r="E745" s="1"/>
      <c r="F745" s="1"/>
      <c r="G745" s="445"/>
      <c r="H745" s="1"/>
      <c r="I745" s="446"/>
      <c r="J745" s="1"/>
      <c r="K745" s="1"/>
      <c r="L745" s="1"/>
      <c r="M745" s="431"/>
      <c r="N745" s="1"/>
      <c r="O745" s="1"/>
      <c r="Q745" s="1"/>
      <c r="W745" s="310"/>
      <c r="X745" s="310"/>
      <c r="Y745" s="310"/>
    </row>
    <row r="746" spans="1:25" ht="18.75" customHeight="1" x14ac:dyDescent="0.2">
      <c r="A746" s="444"/>
      <c r="B746" s="1"/>
      <c r="C746" s="1"/>
      <c r="D746" s="1"/>
      <c r="E746" s="1"/>
      <c r="F746" s="1"/>
      <c r="G746" s="445"/>
      <c r="H746" s="1"/>
      <c r="I746" s="446"/>
      <c r="J746" s="1"/>
      <c r="K746" s="1"/>
      <c r="L746" s="1"/>
      <c r="M746" s="431"/>
      <c r="N746" s="1"/>
      <c r="O746" s="1"/>
      <c r="Q746" s="1"/>
      <c r="W746" s="310"/>
      <c r="X746" s="310"/>
      <c r="Y746" s="310"/>
    </row>
    <row r="747" spans="1:25" ht="18.75" customHeight="1" x14ac:dyDescent="0.2">
      <c r="A747" s="444"/>
      <c r="B747" s="1"/>
      <c r="C747" s="1"/>
      <c r="D747" s="1"/>
      <c r="E747" s="1"/>
      <c r="F747" s="1"/>
      <c r="G747" s="445"/>
      <c r="H747" s="1"/>
      <c r="I747" s="446"/>
      <c r="J747" s="1"/>
      <c r="K747" s="1"/>
      <c r="L747" s="1"/>
      <c r="M747" s="431"/>
      <c r="N747" s="1"/>
      <c r="O747" s="1"/>
      <c r="Q747" s="1"/>
      <c r="W747" s="310"/>
      <c r="X747" s="310"/>
      <c r="Y747" s="310"/>
    </row>
    <row r="748" spans="1:25" ht="18.75" customHeight="1" x14ac:dyDescent="0.2">
      <c r="A748" s="444"/>
      <c r="B748" s="1"/>
      <c r="C748" s="1"/>
      <c r="D748" s="1"/>
      <c r="E748" s="1"/>
      <c r="F748" s="1"/>
      <c r="G748" s="445"/>
      <c r="H748" s="1"/>
      <c r="I748" s="446"/>
      <c r="J748" s="1"/>
      <c r="K748" s="1"/>
      <c r="L748" s="1"/>
      <c r="M748" s="431"/>
      <c r="N748" s="1"/>
      <c r="O748" s="1"/>
      <c r="Q748" s="1"/>
      <c r="W748" s="310"/>
      <c r="X748" s="310"/>
      <c r="Y748" s="310"/>
    </row>
    <row r="749" spans="1:25" ht="18.75" customHeight="1" x14ac:dyDescent="0.2">
      <c r="A749" s="444"/>
      <c r="B749" s="1"/>
      <c r="C749" s="1"/>
      <c r="D749" s="1"/>
      <c r="E749" s="1"/>
      <c r="F749" s="1"/>
      <c r="G749" s="445"/>
      <c r="H749" s="1"/>
      <c r="I749" s="446"/>
      <c r="J749" s="1"/>
      <c r="K749" s="1"/>
      <c r="L749" s="1"/>
      <c r="M749" s="431"/>
      <c r="N749" s="1"/>
      <c r="O749" s="1"/>
      <c r="Q749" s="1"/>
      <c r="W749" s="310"/>
      <c r="X749" s="310"/>
      <c r="Y749" s="310"/>
    </row>
    <row r="750" spans="1:25" ht="18.75" customHeight="1" x14ac:dyDescent="0.2">
      <c r="A750" s="444"/>
      <c r="B750" s="1"/>
      <c r="C750" s="1"/>
      <c r="D750" s="1"/>
      <c r="E750" s="1"/>
      <c r="F750" s="1"/>
      <c r="G750" s="445"/>
      <c r="H750" s="1"/>
      <c r="I750" s="446"/>
      <c r="J750" s="1"/>
      <c r="K750" s="1"/>
      <c r="L750" s="1"/>
      <c r="M750" s="431"/>
      <c r="N750" s="1"/>
      <c r="O750" s="1"/>
      <c r="Q750" s="1"/>
      <c r="W750" s="310"/>
      <c r="X750" s="310"/>
      <c r="Y750" s="310"/>
    </row>
    <row r="751" spans="1:25" ht="18.75" customHeight="1" x14ac:dyDescent="0.2">
      <c r="A751" s="444"/>
      <c r="B751" s="1"/>
      <c r="C751" s="1"/>
      <c r="D751" s="1"/>
      <c r="E751" s="1"/>
      <c r="F751" s="1"/>
      <c r="G751" s="445"/>
      <c r="H751" s="1"/>
      <c r="I751" s="446"/>
      <c r="J751" s="1"/>
      <c r="K751" s="1"/>
      <c r="L751" s="1"/>
      <c r="M751" s="431"/>
      <c r="N751" s="1"/>
      <c r="O751" s="1"/>
      <c r="Q751" s="1"/>
      <c r="W751" s="310"/>
      <c r="X751" s="310"/>
      <c r="Y751" s="310"/>
    </row>
    <row r="752" spans="1:25" ht="18.75" customHeight="1" x14ac:dyDescent="0.2">
      <c r="A752" s="444"/>
      <c r="B752" s="1"/>
      <c r="C752" s="1"/>
      <c r="D752" s="1"/>
      <c r="E752" s="1"/>
      <c r="F752" s="1"/>
      <c r="G752" s="445"/>
      <c r="H752" s="1"/>
      <c r="I752" s="446"/>
      <c r="J752" s="1"/>
      <c r="K752" s="1"/>
      <c r="L752" s="1"/>
      <c r="M752" s="431"/>
      <c r="N752" s="1"/>
      <c r="O752" s="1"/>
      <c r="Q752" s="1"/>
      <c r="W752" s="310"/>
      <c r="X752" s="310"/>
      <c r="Y752" s="310"/>
    </row>
    <row r="753" spans="1:25" ht="18.75" customHeight="1" x14ac:dyDescent="0.2">
      <c r="A753" s="444"/>
      <c r="B753" s="1"/>
      <c r="C753" s="1"/>
      <c r="D753" s="1"/>
      <c r="E753" s="1"/>
      <c r="F753" s="1"/>
      <c r="G753" s="445"/>
      <c r="H753" s="1"/>
      <c r="I753" s="446"/>
      <c r="J753" s="1"/>
      <c r="K753" s="1"/>
      <c r="L753" s="1"/>
      <c r="M753" s="431"/>
      <c r="N753" s="1"/>
      <c r="O753" s="1"/>
      <c r="Q753" s="1"/>
      <c r="W753" s="310"/>
      <c r="X753" s="310"/>
      <c r="Y753" s="310"/>
    </row>
    <row r="754" spans="1:25" ht="18.75" customHeight="1" x14ac:dyDescent="0.2">
      <c r="A754" s="444"/>
      <c r="B754" s="1"/>
      <c r="C754" s="1"/>
      <c r="D754" s="1"/>
      <c r="E754" s="1"/>
      <c r="F754" s="1"/>
      <c r="G754" s="445"/>
      <c r="H754" s="1"/>
      <c r="I754" s="446"/>
      <c r="J754" s="1"/>
      <c r="K754" s="1"/>
      <c r="L754" s="1"/>
      <c r="M754" s="431"/>
      <c r="N754" s="1"/>
      <c r="O754" s="1"/>
      <c r="Q754" s="1"/>
      <c r="W754" s="310"/>
      <c r="X754" s="310"/>
      <c r="Y754" s="310"/>
    </row>
    <row r="755" spans="1:25" ht="18.75" customHeight="1" x14ac:dyDescent="0.2">
      <c r="A755" s="444"/>
      <c r="B755" s="1"/>
      <c r="C755" s="1"/>
      <c r="D755" s="1"/>
      <c r="E755" s="1"/>
      <c r="F755" s="1"/>
      <c r="G755" s="445"/>
      <c r="H755" s="1"/>
      <c r="I755" s="446"/>
      <c r="J755" s="1"/>
      <c r="K755" s="1"/>
      <c r="L755" s="1"/>
      <c r="M755" s="431"/>
      <c r="N755" s="1"/>
      <c r="O755" s="1"/>
      <c r="Q755" s="1"/>
      <c r="W755" s="310"/>
      <c r="X755" s="310"/>
      <c r="Y755" s="310"/>
    </row>
    <row r="756" spans="1:25" ht="18.75" customHeight="1" x14ac:dyDescent="0.2">
      <c r="A756" s="444"/>
      <c r="B756" s="1"/>
      <c r="C756" s="1"/>
      <c r="D756" s="1"/>
      <c r="E756" s="1"/>
      <c r="F756" s="1"/>
      <c r="G756" s="445"/>
      <c r="H756" s="1"/>
      <c r="I756" s="446"/>
      <c r="J756" s="1"/>
      <c r="K756" s="1"/>
      <c r="L756" s="1"/>
      <c r="M756" s="431"/>
      <c r="N756" s="1"/>
      <c r="O756" s="1"/>
      <c r="Q756" s="1"/>
      <c r="W756" s="310"/>
      <c r="X756" s="310"/>
      <c r="Y756" s="310"/>
    </row>
    <row r="757" spans="1:25" ht="18.75" customHeight="1" x14ac:dyDescent="0.2">
      <c r="A757" s="444"/>
      <c r="B757" s="1"/>
      <c r="C757" s="1"/>
      <c r="D757" s="1"/>
      <c r="E757" s="1"/>
      <c r="F757" s="1"/>
      <c r="G757" s="445"/>
      <c r="H757" s="1"/>
      <c r="I757" s="446"/>
      <c r="J757" s="1"/>
      <c r="K757" s="1"/>
      <c r="L757" s="1"/>
      <c r="M757" s="431"/>
      <c r="N757" s="1"/>
      <c r="O757" s="1"/>
      <c r="Q757" s="1"/>
      <c r="W757" s="310"/>
      <c r="X757" s="310"/>
      <c r="Y757" s="310"/>
    </row>
    <row r="758" spans="1:25" ht="18.75" customHeight="1" x14ac:dyDescent="0.2">
      <c r="A758" s="444"/>
      <c r="B758" s="1"/>
      <c r="C758" s="1"/>
      <c r="D758" s="1"/>
      <c r="E758" s="1"/>
      <c r="F758" s="1"/>
      <c r="G758" s="445"/>
      <c r="H758" s="1"/>
      <c r="I758" s="446"/>
      <c r="J758" s="1"/>
      <c r="K758" s="1"/>
      <c r="L758" s="1"/>
      <c r="M758" s="431"/>
      <c r="N758" s="1"/>
      <c r="O758" s="1"/>
      <c r="Q758" s="1"/>
      <c r="W758" s="310"/>
      <c r="X758" s="310"/>
      <c r="Y758" s="310"/>
    </row>
    <row r="759" spans="1:25" ht="18.75" customHeight="1" x14ac:dyDescent="0.2">
      <c r="A759" s="444"/>
      <c r="B759" s="1"/>
      <c r="C759" s="1"/>
      <c r="D759" s="1"/>
      <c r="E759" s="1"/>
      <c r="F759" s="1"/>
      <c r="G759" s="445"/>
      <c r="H759" s="1"/>
      <c r="I759" s="446"/>
      <c r="J759" s="1"/>
      <c r="K759" s="1"/>
      <c r="L759" s="1"/>
      <c r="M759" s="431"/>
      <c r="N759" s="1"/>
      <c r="O759" s="1"/>
      <c r="Q759" s="1"/>
      <c r="W759" s="310"/>
      <c r="X759" s="310"/>
      <c r="Y759" s="310"/>
    </row>
    <row r="760" spans="1:25" ht="18.75" customHeight="1" x14ac:dyDescent="0.2">
      <c r="A760" s="444"/>
      <c r="B760" s="1"/>
      <c r="C760" s="1"/>
      <c r="D760" s="1"/>
      <c r="E760" s="1"/>
      <c r="F760" s="1"/>
      <c r="G760" s="445"/>
      <c r="H760" s="1"/>
      <c r="I760" s="446"/>
      <c r="J760" s="1"/>
      <c r="K760" s="1"/>
      <c r="L760" s="1"/>
      <c r="M760" s="431"/>
      <c r="N760" s="1"/>
      <c r="O760" s="1"/>
      <c r="Q760" s="1"/>
      <c r="W760" s="310"/>
      <c r="X760" s="310"/>
      <c r="Y760" s="310"/>
    </row>
    <row r="761" spans="1:25" ht="18.75" customHeight="1" x14ac:dyDescent="0.2">
      <c r="A761" s="444"/>
      <c r="B761" s="1"/>
      <c r="C761" s="1"/>
      <c r="D761" s="1"/>
      <c r="E761" s="1"/>
      <c r="F761" s="1"/>
      <c r="G761" s="445"/>
      <c r="H761" s="1"/>
      <c r="I761" s="446"/>
      <c r="J761" s="1"/>
      <c r="K761" s="1"/>
      <c r="L761" s="1"/>
      <c r="M761" s="431"/>
      <c r="N761" s="1"/>
      <c r="O761" s="1"/>
      <c r="Q761" s="1"/>
      <c r="W761" s="310"/>
      <c r="X761" s="310"/>
      <c r="Y761" s="310"/>
    </row>
    <row r="762" spans="1:25" ht="18.75" customHeight="1" x14ac:dyDescent="0.2">
      <c r="A762" s="444"/>
      <c r="B762" s="1"/>
      <c r="C762" s="1"/>
      <c r="D762" s="1"/>
      <c r="E762" s="1"/>
      <c r="F762" s="1"/>
      <c r="G762" s="445"/>
      <c r="H762" s="1"/>
      <c r="I762" s="446"/>
      <c r="J762" s="1"/>
      <c r="K762" s="1"/>
      <c r="L762" s="1"/>
      <c r="M762" s="431"/>
      <c r="N762" s="1"/>
      <c r="O762" s="1"/>
      <c r="Q762" s="1"/>
      <c r="W762" s="310"/>
      <c r="X762" s="310"/>
      <c r="Y762" s="310"/>
    </row>
    <row r="763" spans="1:25" ht="18.75" customHeight="1" x14ac:dyDescent="0.2">
      <c r="A763" s="444"/>
      <c r="B763" s="1"/>
      <c r="C763" s="1"/>
      <c r="D763" s="1"/>
      <c r="E763" s="1"/>
      <c r="F763" s="1"/>
      <c r="G763" s="445"/>
      <c r="H763" s="1"/>
      <c r="I763" s="446"/>
      <c r="J763" s="1"/>
      <c r="K763" s="1"/>
      <c r="L763" s="1"/>
      <c r="M763" s="431"/>
      <c r="N763" s="1"/>
      <c r="O763" s="1"/>
      <c r="Q763" s="1"/>
      <c r="W763" s="310"/>
      <c r="X763" s="310"/>
      <c r="Y763" s="310"/>
    </row>
    <row r="764" spans="1:25" ht="18.75" customHeight="1" x14ac:dyDescent="0.2">
      <c r="A764" s="444"/>
      <c r="B764" s="1"/>
      <c r="C764" s="1"/>
      <c r="D764" s="1"/>
      <c r="E764" s="1"/>
      <c r="F764" s="1"/>
      <c r="G764" s="445"/>
      <c r="H764" s="1"/>
      <c r="I764" s="446"/>
      <c r="J764" s="1"/>
      <c r="K764" s="1"/>
      <c r="L764" s="1"/>
      <c r="M764" s="431"/>
      <c r="N764" s="1"/>
      <c r="O764" s="1"/>
      <c r="Q764" s="1"/>
      <c r="W764" s="310"/>
      <c r="X764" s="310"/>
      <c r="Y764" s="310"/>
    </row>
    <row r="765" spans="1:25" ht="18.75" customHeight="1" x14ac:dyDescent="0.2">
      <c r="A765" s="444"/>
      <c r="B765" s="1"/>
      <c r="C765" s="1"/>
      <c r="D765" s="1"/>
      <c r="E765" s="1"/>
      <c r="F765" s="1"/>
      <c r="G765" s="445"/>
      <c r="H765" s="1"/>
      <c r="I765" s="446"/>
      <c r="J765" s="1"/>
      <c r="K765" s="1"/>
      <c r="L765" s="1"/>
      <c r="M765" s="431"/>
      <c r="N765" s="1"/>
      <c r="O765" s="1"/>
      <c r="Q765" s="1"/>
      <c r="W765" s="310"/>
      <c r="X765" s="310"/>
      <c r="Y765" s="310"/>
    </row>
    <row r="766" spans="1:25" ht="18.75" customHeight="1" x14ac:dyDescent="0.2">
      <c r="A766" s="444"/>
      <c r="B766" s="1"/>
      <c r="C766" s="1"/>
      <c r="D766" s="1"/>
      <c r="E766" s="1"/>
      <c r="F766" s="1"/>
      <c r="G766" s="445"/>
      <c r="H766" s="1"/>
      <c r="I766" s="446"/>
      <c r="J766" s="1"/>
      <c r="K766" s="1"/>
      <c r="L766" s="1"/>
      <c r="M766" s="431"/>
      <c r="N766" s="1"/>
      <c r="O766" s="1"/>
      <c r="Q766" s="1"/>
      <c r="W766" s="310"/>
      <c r="X766" s="310"/>
      <c r="Y766" s="310"/>
    </row>
    <row r="767" spans="1:25" ht="18.75" customHeight="1" x14ac:dyDescent="0.2">
      <c r="A767" s="444"/>
      <c r="B767" s="1"/>
      <c r="C767" s="1"/>
      <c r="D767" s="1"/>
      <c r="E767" s="1"/>
      <c r="F767" s="1"/>
      <c r="G767" s="445"/>
      <c r="H767" s="1"/>
      <c r="I767" s="446"/>
      <c r="J767" s="1"/>
      <c r="K767" s="1"/>
      <c r="L767" s="1"/>
      <c r="M767" s="431"/>
      <c r="N767" s="1"/>
      <c r="O767" s="1"/>
      <c r="Q767" s="1"/>
      <c r="W767" s="310"/>
      <c r="X767" s="310"/>
      <c r="Y767" s="310"/>
    </row>
    <row r="768" spans="1:25" ht="18.75" customHeight="1" x14ac:dyDescent="0.2">
      <c r="A768" s="444"/>
      <c r="B768" s="1"/>
      <c r="C768" s="1"/>
      <c r="D768" s="1"/>
      <c r="E768" s="1"/>
      <c r="F768" s="1"/>
      <c r="G768" s="445"/>
      <c r="H768" s="1"/>
      <c r="I768" s="446"/>
      <c r="J768" s="1"/>
      <c r="K768" s="1"/>
      <c r="L768" s="1"/>
      <c r="M768" s="431"/>
      <c r="N768" s="1"/>
      <c r="O768" s="1"/>
      <c r="Q768" s="1"/>
      <c r="W768" s="310"/>
      <c r="X768" s="310"/>
      <c r="Y768" s="310"/>
    </row>
    <row r="769" spans="1:25" ht="18.75" customHeight="1" x14ac:dyDescent="0.2">
      <c r="A769" s="444"/>
      <c r="B769" s="1"/>
      <c r="C769" s="1"/>
      <c r="D769" s="1"/>
      <c r="E769" s="1"/>
      <c r="F769" s="1"/>
      <c r="G769" s="445"/>
      <c r="H769" s="1"/>
      <c r="I769" s="446"/>
      <c r="J769" s="1"/>
      <c r="K769" s="1"/>
      <c r="L769" s="1"/>
      <c r="M769" s="431"/>
      <c r="N769" s="1"/>
      <c r="O769" s="1"/>
      <c r="Q769" s="1"/>
      <c r="W769" s="310"/>
      <c r="X769" s="310"/>
      <c r="Y769" s="310"/>
    </row>
    <row r="770" spans="1:25" ht="18.75" customHeight="1" x14ac:dyDescent="0.2">
      <c r="A770" s="444"/>
      <c r="B770" s="1"/>
      <c r="C770" s="1"/>
      <c r="D770" s="1"/>
      <c r="E770" s="1"/>
      <c r="F770" s="1"/>
      <c r="G770" s="445"/>
      <c r="H770" s="1"/>
      <c r="I770" s="446"/>
      <c r="J770" s="1"/>
      <c r="K770" s="1"/>
      <c r="L770" s="1"/>
      <c r="M770" s="431"/>
      <c r="N770" s="1"/>
      <c r="O770" s="1"/>
      <c r="Q770" s="1"/>
      <c r="W770" s="310"/>
      <c r="X770" s="310"/>
      <c r="Y770" s="310"/>
    </row>
    <row r="771" spans="1:25" ht="18.75" customHeight="1" x14ac:dyDescent="0.2">
      <c r="A771" s="444"/>
      <c r="B771" s="1"/>
      <c r="C771" s="1"/>
      <c r="D771" s="1"/>
      <c r="E771" s="1"/>
      <c r="F771" s="1"/>
      <c r="G771" s="445"/>
      <c r="H771" s="1"/>
      <c r="I771" s="446"/>
      <c r="J771" s="1"/>
      <c r="K771" s="1"/>
      <c r="L771" s="1"/>
      <c r="M771" s="431"/>
      <c r="N771" s="1"/>
      <c r="O771" s="1"/>
      <c r="Q771" s="1"/>
      <c r="W771" s="310"/>
      <c r="X771" s="310"/>
      <c r="Y771" s="310"/>
    </row>
    <row r="772" spans="1:25" ht="18.75" customHeight="1" x14ac:dyDescent="0.2">
      <c r="A772" s="444"/>
      <c r="B772" s="1"/>
      <c r="C772" s="1"/>
      <c r="D772" s="1"/>
      <c r="E772" s="1"/>
      <c r="F772" s="1"/>
      <c r="G772" s="445"/>
      <c r="H772" s="1"/>
      <c r="I772" s="446"/>
      <c r="J772" s="1"/>
      <c r="K772" s="1"/>
      <c r="L772" s="1"/>
      <c r="M772" s="431"/>
      <c r="N772" s="1"/>
      <c r="O772" s="1"/>
      <c r="Q772" s="1"/>
      <c r="W772" s="310"/>
      <c r="X772" s="310"/>
      <c r="Y772" s="310"/>
    </row>
    <row r="773" spans="1:25" ht="18.75" customHeight="1" x14ac:dyDescent="0.2">
      <c r="A773" s="444"/>
      <c r="B773" s="1"/>
      <c r="C773" s="1"/>
      <c r="D773" s="1"/>
      <c r="E773" s="1"/>
      <c r="F773" s="1"/>
      <c r="G773" s="445"/>
      <c r="H773" s="1"/>
      <c r="I773" s="446"/>
      <c r="J773" s="1"/>
      <c r="K773" s="1"/>
      <c r="L773" s="1"/>
      <c r="M773" s="431"/>
      <c r="N773" s="1"/>
      <c r="O773" s="1"/>
      <c r="Q773" s="1"/>
      <c r="W773" s="310"/>
      <c r="X773" s="310"/>
      <c r="Y773" s="310"/>
    </row>
    <row r="774" spans="1:25" ht="18.75" customHeight="1" x14ac:dyDescent="0.2">
      <c r="A774" s="444"/>
      <c r="B774" s="1"/>
      <c r="C774" s="1"/>
      <c r="D774" s="1"/>
      <c r="E774" s="1"/>
      <c r="F774" s="1"/>
      <c r="G774" s="445"/>
      <c r="H774" s="1"/>
      <c r="I774" s="446"/>
      <c r="J774" s="1"/>
      <c r="K774" s="1"/>
      <c r="L774" s="1"/>
      <c r="M774" s="431"/>
      <c r="N774" s="1"/>
      <c r="O774" s="1"/>
      <c r="Q774" s="1"/>
      <c r="W774" s="310"/>
      <c r="X774" s="310"/>
      <c r="Y774" s="310"/>
    </row>
    <row r="775" spans="1:25" ht="18.75" customHeight="1" x14ac:dyDescent="0.2">
      <c r="A775" s="444"/>
      <c r="B775" s="1"/>
      <c r="C775" s="1"/>
      <c r="D775" s="1"/>
      <c r="E775" s="1"/>
      <c r="F775" s="1"/>
      <c r="G775" s="445"/>
      <c r="H775" s="1"/>
      <c r="I775" s="446"/>
      <c r="J775" s="1"/>
      <c r="K775" s="1"/>
      <c r="L775" s="1"/>
      <c r="M775" s="431"/>
      <c r="N775" s="1"/>
      <c r="O775" s="1"/>
      <c r="Q775" s="1"/>
      <c r="W775" s="310"/>
      <c r="X775" s="310"/>
      <c r="Y775" s="310"/>
    </row>
    <row r="776" spans="1:25" ht="18.75" customHeight="1" x14ac:dyDescent="0.2">
      <c r="A776" s="444"/>
      <c r="B776" s="1"/>
      <c r="C776" s="1"/>
      <c r="D776" s="1"/>
      <c r="E776" s="1"/>
      <c r="F776" s="1"/>
      <c r="G776" s="445"/>
      <c r="H776" s="1"/>
      <c r="I776" s="446"/>
      <c r="J776" s="1"/>
      <c r="K776" s="1"/>
      <c r="L776" s="1"/>
      <c r="M776" s="431"/>
      <c r="N776" s="1"/>
      <c r="O776" s="1"/>
      <c r="Q776" s="1"/>
      <c r="W776" s="310"/>
      <c r="X776" s="310"/>
      <c r="Y776" s="310"/>
    </row>
    <row r="777" spans="1:25" ht="18.75" customHeight="1" x14ac:dyDescent="0.2">
      <c r="A777" s="444"/>
      <c r="B777" s="1"/>
      <c r="C777" s="1"/>
      <c r="D777" s="1"/>
      <c r="E777" s="1"/>
      <c r="F777" s="1"/>
      <c r="G777" s="445"/>
      <c r="H777" s="1"/>
      <c r="I777" s="446"/>
      <c r="J777" s="1"/>
      <c r="K777" s="1"/>
      <c r="L777" s="1"/>
      <c r="M777" s="431"/>
      <c r="N777" s="1"/>
      <c r="O777" s="1"/>
      <c r="Q777" s="1"/>
      <c r="W777" s="310"/>
      <c r="X777" s="310"/>
      <c r="Y777" s="310"/>
    </row>
    <row r="778" spans="1:25" ht="18.75" customHeight="1" x14ac:dyDescent="0.2">
      <c r="A778" s="444"/>
      <c r="B778" s="1"/>
      <c r="C778" s="1"/>
      <c r="D778" s="1"/>
      <c r="E778" s="1"/>
      <c r="F778" s="1"/>
      <c r="G778" s="445"/>
      <c r="H778" s="1"/>
      <c r="I778" s="446"/>
      <c r="J778" s="1"/>
      <c r="K778" s="1"/>
      <c r="L778" s="1"/>
      <c r="M778" s="431"/>
      <c r="N778" s="1"/>
      <c r="O778" s="1"/>
      <c r="Q778" s="1"/>
      <c r="W778" s="310"/>
      <c r="X778" s="310"/>
      <c r="Y778" s="310"/>
    </row>
    <row r="779" spans="1:25" ht="18.75" customHeight="1" x14ac:dyDescent="0.2">
      <c r="A779" s="444"/>
      <c r="B779" s="1"/>
      <c r="C779" s="1"/>
      <c r="D779" s="1"/>
      <c r="E779" s="1"/>
      <c r="F779" s="1"/>
      <c r="G779" s="445"/>
      <c r="H779" s="1"/>
      <c r="I779" s="446"/>
      <c r="J779" s="1"/>
      <c r="K779" s="1"/>
      <c r="L779" s="1"/>
      <c r="M779" s="431"/>
      <c r="N779" s="1"/>
      <c r="O779" s="1"/>
      <c r="Q779" s="1"/>
      <c r="W779" s="310"/>
      <c r="X779" s="310"/>
      <c r="Y779" s="310"/>
    </row>
    <row r="780" spans="1:25" ht="18.75" customHeight="1" x14ac:dyDescent="0.2">
      <c r="A780" s="444"/>
      <c r="B780" s="1"/>
      <c r="C780" s="1"/>
      <c r="D780" s="1"/>
      <c r="E780" s="1"/>
      <c r="F780" s="1"/>
      <c r="G780" s="445"/>
      <c r="H780" s="1"/>
      <c r="I780" s="446"/>
      <c r="J780" s="1"/>
      <c r="K780" s="1"/>
      <c r="L780" s="1"/>
      <c r="M780" s="431"/>
      <c r="N780" s="1"/>
      <c r="O780" s="1"/>
      <c r="Q780" s="1"/>
      <c r="W780" s="310"/>
      <c r="X780" s="310"/>
      <c r="Y780" s="310"/>
    </row>
    <row r="781" spans="1:25" ht="18.75" customHeight="1" x14ac:dyDescent="0.2">
      <c r="A781" s="444"/>
      <c r="B781" s="1"/>
      <c r="C781" s="1"/>
      <c r="D781" s="1"/>
      <c r="E781" s="1"/>
      <c r="F781" s="1"/>
      <c r="G781" s="445"/>
      <c r="H781" s="1"/>
      <c r="I781" s="446"/>
      <c r="J781" s="1"/>
      <c r="K781" s="1"/>
      <c r="L781" s="1"/>
      <c r="M781" s="431"/>
      <c r="N781" s="1"/>
      <c r="O781" s="1"/>
      <c r="Q781" s="1"/>
      <c r="W781" s="310"/>
      <c r="X781" s="310"/>
      <c r="Y781" s="310"/>
    </row>
    <row r="782" spans="1:25" ht="18.75" customHeight="1" x14ac:dyDescent="0.2">
      <c r="A782" s="444"/>
      <c r="B782" s="1"/>
      <c r="C782" s="1"/>
      <c r="D782" s="1"/>
      <c r="E782" s="1"/>
      <c r="F782" s="1"/>
      <c r="G782" s="445"/>
      <c r="H782" s="1"/>
      <c r="I782" s="446"/>
      <c r="J782" s="1"/>
      <c r="K782" s="1"/>
      <c r="L782" s="1"/>
      <c r="M782" s="431"/>
      <c r="N782" s="1"/>
      <c r="O782" s="1"/>
      <c r="Q782" s="1"/>
      <c r="W782" s="310"/>
      <c r="X782" s="310"/>
      <c r="Y782" s="310"/>
    </row>
    <row r="783" spans="1:25" ht="18.75" customHeight="1" x14ac:dyDescent="0.2">
      <c r="A783" s="444"/>
      <c r="B783" s="1"/>
      <c r="C783" s="1"/>
      <c r="D783" s="1"/>
      <c r="E783" s="1"/>
      <c r="F783" s="1"/>
      <c r="G783" s="445"/>
      <c r="H783" s="1"/>
      <c r="I783" s="446"/>
      <c r="J783" s="1"/>
      <c r="K783" s="1"/>
      <c r="L783" s="1"/>
      <c r="M783" s="431"/>
      <c r="N783" s="1"/>
      <c r="O783" s="1"/>
      <c r="Q783" s="1"/>
      <c r="W783" s="310"/>
      <c r="X783" s="310"/>
      <c r="Y783" s="310"/>
    </row>
    <row r="784" spans="1:25" ht="18.75" customHeight="1" x14ac:dyDescent="0.2">
      <c r="A784" s="444"/>
      <c r="B784" s="1"/>
      <c r="C784" s="1"/>
      <c r="D784" s="1"/>
      <c r="E784" s="1"/>
      <c r="F784" s="1"/>
      <c r="G784" s="445"/>
      <c r="H784" s="1"/>
      <c r="I784" s="446"/>
      <c r="J784" s="1"/>
      <c r="K784" s="1"/>
      <c r="L784" s="1"/>
      <c r="M784" s="431"/>
      <c r="N784" s="1"/>
      <c r="O784" s="1"/>
      <c r="Q784" s="1"/>
      <c r="W784" s="310"/>
      <c r="X784" s="310"/>
      <c r="Y784" s="310"/>
    </row>
    <row r="785" spans="1:25" ht="18.75" customHeight="1" x14ac:dyDescent="0.2">
      <c r="A785" s="444"/>
      <c r="B785" s="1"/>
      <c r="C785" s="1"/>
      <c r="D785" s="1"/>
      <c r="E785" s="1"/>
      <c r="F785" s="1"/>
      <c r="G785" s="445"/>
      <c r="H785" s="1"/>
      <c r="I785" s="446"/>
      <c r="J785" s="1"/>
      <c r="K785" s="1"/>
      <c r="L785" s="1"/>
      <c r="M785" s="431"/>
      <c r="N785" s="1"/>
      <c r="O785" s="1"/>
      <c r="Q785" s="1"/>
      <c r="W785" s="310"/>
      <c r="X785" s="310"/>
      <c r="Y785" s="310"/>
    </row>
    <row r="786" spans="1:25" ht="18.75" customHeight="1" x14ac:dyDescent="0.2">
      <c r="A786" s="444"/>
      <c r="B786" s="1"/>
      <c r="C786" s="1"/>
      <c r="D786" s="1"/>
      <c r="E786" s="1"/>
      <c r="F786" s="1"/>
      <c r="G786" s="445"/>
      <c r="H786" s="1"/>
      <c r="I786" s="446"/>
      <c r="J786" s="1"/>
      <c r="K786" s="1"/>
      <c r="L786" s="1"/>
      <c r="M786" s="431"/>
      <c r="N786" s="1"/>
      <c r="O786" s="1"/>
      <c r="Q786" s="1"/>
      <c r="W786" s="310"/>
      <c r="X786" s="310"/>
      <c r="Y786" s="310"/>
    </row>
    <row r="787" spans="1:25" ht="18.75" customHeight="1" x14ac:dyDescent="0.2">
      <c r="A787" s="444"/>
      <c r="B787" s="1"/>
      <c r="C787" s="1"/>
      <c r="D787" s="1"/>
      <c r="E787" s="1"/>
      <c r="F787" s="1"/>
      <c r="G787" s="445"/>
      <c r="H787" s="1"/>
      <c r="I787" s="446"/>
      <c r="J787" s="1"/>
      <c r="K787" s="1"/>
      <c r="L787" s="1"/>
      <c r="M787" s="431"/>
      <c r="N787" s="1"/>
      <c r="O787" s="1"/>
      <c r="Q787" s="1"/>
      <c r="W787" s="310"/>
      <c r="X787" s="310"/>
      <c r="Y787" s="310"/>
    </row>
    <row r="788" spans="1:25" ht="18.75" customHeight="1" x14ac:dyDescent="0.2">
      <c r="A788" s="444"/>
      <c r="B788" s="1"/>
      <c r="C788" s="1"/>
      <c r="D788" s="1"/>
      <c r="E788" s="1"/>
      <c r="F788" s="1"/>
      <c r="G788" s="445"/>
      <c r="H788" s="1"/>
      <c r="I788" s="446"/>
      <c r="J788" s="1"/>
      <c r="K788" s="1"/>
      <c r="L788" s="1"/>
      <c r="M788" s="431"/>
      <c r="N788" s="1"/>
      <c r="O788" s="1"/>
      <c r="Q788" s="1"/>
      <c r="W788" s="310"/>
      <c r="X788" s="310"/>
      <c r="Y788" s="310"/>
    </row>
    <row r="789" spans="1:25" ht="18.75" customHeight="1" x14ac:dyDescent="0.2">
      <c r="A789" s="444"/>
      <c r="B789" s="1"/>
      <c r="C789" s="1"/>
      <c r="D789" s="1"/>
      <c r="E789" s="1"/>
      <c r="F789" s="1"/>
      <c r="G789" s="445"/>
      <c r="H789" s="1"/>
      <c r="I789" s="446"/>
      <c r="J789" s="1"/>
      <c r="K789" s="1"/>
      <c r="L789" s="1"/>
      <c r="M789" s="431"/>
      <c r="N789" s="1"/>
      <c r="O789" s="1"/>
      <c r="Q789" s="1"/>
      <c r="W789" s="310"/>
      <c r="X789" s="310"/>
      <c r="Y789" s="310"/>
    </row>
    <row r="790" spans="1:25" ht="18.75" customHeight="1" x14ac:dyDescent="0.2">
      <c r="A790" s="444"/>
      <c r="B790" s="1"/>
      <c r="C790" s="1"/>
      <c r="D790" s="1"/>
      <c r="E790" s="1"/>
      <c r="F790" s="1"/>
      <c r="G790" s="445"/>
      <c r="H790" s="1"/>
      <c r="I790" s="446"/>
      <c r="J790" s="1"/>
      <c r="K790" s="1"/>
      <c r="L790" s="1"/>
      <c r="M790" s="431"/>
      <c r="N790" s="1"/>
      <c r="O790" s="1"/>
      <c r="Q790" s="1"/>
      <c r="W790" s="310"/>
      <c r="X790" s="310"/>
      <c r="Y790" s="310"/>
    </row>
    <row r="791" spans="1:25" ht="18.75" customHeight="1" x14ac:dyDescent="0.2">
      <c r="A791" s="444"/>
      <c r="B791" s="1"/>
      <c r="C791" s="1"/>
      <c r="D791" s="1"/>
      <c r="E791" s="1"/>
      <c r="F791" s="1"/>
      <c r="G791" s="445"/>
      <c r="H791" s="1"/>
      <c r="I791" s="446"/>
      <c r="J791" s="1"/>
      <c r="K791" s="1"/>
      <c r="L791" s="1"/>
      <c r="M791" s="431"/>
      <c r="N791" s="1"/>
      <c r="O791" s="1"/>
      <c r="Q791" s="1"/>
      <c r="W791" s="310"/>
      <c r="X791" s="310"/>
      <c r="Y791" s="310"/>
    </row>
    <row r="792" spans="1:25" ht="18.75" customHeight="1" x14ac:dyDescent="0.2">
      <c r="A792" s="444"/>
      <c r="B792" s="1"/>
      <c r="C792" s="1"/>
      <c r="D792" s="1"/>
      <c r="E792" s="1"/>
      <c r="F792" s="1"/>
      <c r="G792" s="445"/>
      <c r="H792" s="1"/>
      <c r="I792" s="446"/>
      <c r="J792" s="1"/>
      <c r="K792" s="1"/>
      <c r="L792" s="1"/>
      <c r="M792" s="431"/>
      <c r="N792" s="1"/>
      <c r="O792" s="1"/>
      <c r="Q792" s="1"/>
      <c r="W792" s="310"/>
      <c r="X792" s="310"/>
      <c r="Y792" s="310"/>
    </row>
    <row r="793" spans="1:25" ht="18.75" customHeight="1" x14ac:dyDescent="0.2">
      <c r="A793" s="444"/>
      <c r="B793" s="1"/>
      <c r="C793" s="1"/>
      <c r="D793" s="1"/>
      <c r="E793" s="1"/>
      <c r="F793" s="1"/>
      <c r="G793" s="445"/>
      <c r="H793" s="1"/>
      <c r="I793" s="446"/>
      <c r="J793" s="1"/>
      <c r="K793" s="1"/>
      <c r="L793" s="1"/>
      <c r="M793" s="431"/>
      <c r="N793" s="1"/>
      <c r="O793" s="1"/>
      <c r="Q793" s="1"/>
      <c r="W793" s="310"/>
      <c r="X793" s="310"/>
      <c r="Y793" s="310"/>
    </row>
    <row r="794" spans="1:25" ht="18.75" customHeight="1" x14ac:dyDescent="0.2">
      <c r="A794" s="444"/>
      <c r="B794" s="1"/>
      <c r="C794" s="1"/>
      <c r="D794" s="1"/>
      <c r="E794" s="1"/>
      <c r="F794" s="1"/>
      <c r="G794" s="445"/>
      <c r="H794" s="1"/>
      <c r="I794" s="446"/>
      <c r="J794" s="1"/>
      <c r="K794" s="1"/>
      <c r="L794" s="1"/>
      <c r="M794" s="431"/>
      <c r="N794" s="1"/>
      <c r="O794" s="1"/>
      <c r="Q794" s="1"/>
      <c r="W794" s="310"/>
      <c r="X794" s="310"/>
      <c r="Y794" s="310"/>
    </row>
    <row r="795" spans="1:25" ht="18.75" customHeight="1" x14ac:dyDescent="0.2">
      <c r="A795" s="444"/>
      <c r="B795" s="1"/>
      <c r="C795" s="1"/>
      <c r="D795" s="1"/>
      <c r="E795" s="1"/>
      <c r="F795" s="1"/>
      <c r="G795" s="445"/>
      <c r="H795" s="1"/>
      <c r="I795" s="446"/>
      <c r="J795" s="1"/>
      <c r="K795" s="1"/>
      <c r="L795" s="1"/>
      <c r="M795" s="431"/>
      <c r="N795" s="1"/>
      <c r="O795" s="1"/>
      <c r="Q795" s="1"/>
      <c r="W795" s="310"/>
      <c r="X795" s="310"/>
      <c r="Y795" s="310"/>
    </row>
    <row r="796" spans="1:25" ht="18.75" customHeight="1" x14ac:dyDescent="0.2">
      <c r="A796" s="444"/>
      <c r="B796" s="1"/>
      <c r="C796" s="1"/>
      <c r="D796" s="1"/>
      <c r="E796" s="1"/>
      <c r="F796" s="1"/>
      <c r="G796" s="445"/>
      <c r="H796" s="1"/>
      <c r="I796" s="446"/>
      <c r="J796" s="1"/>
      <c r="K796" s="1"/>
      <c r="L796" s="1"/>
      <c r="M796" s="431"/>
      <c r="N796" s="1"/>
      <c r="O796" s="1"/>
      <c r="Q796" s="1"/>
      <c r="W796" s="310"/>
      <c r="X796" s="310"/>
      <c r="Y796" s="310"/>
    </row>
    <row r="797" spans="1:25" ht="18.75" customHeight="1" x14ac:dyDescent="0.2">
      <c r="A797" s="444"/>
      <c r="B797" s="1"/>
      <c r="C797" s="1"/>
      <c r="D797" s="1"/>
      <c r="E797" s="1"/>
      <c r="F797" s="1"/>
      <c r="G797" s="445"/>
      <c r="H797" s="1"/>
      <c r="I797" s="446"/>
      <c r="J797" s="1"/>
      <c r="K797" s="1"/>
      <c r="L797" s="1"/>
      <c r="M797" s="431"/>
      <c r="N797" s="1"/>
      <c r="O797" s="1"/>
      <c r="Q797" s="1"/>
      <c r="W797" s="310"/>
      <c r="X797" s="310"/>
      <c r="Y797" s="310"/>
    </row>
    <row r="798" spans="1:25" ht="18.75" customHeight="1" x14ac:dyDescent="0.2">
      <c r="A798" s="444"/>
      <c r="B798" s="1"/>
      <c r="C798" s="1"/>
      <c r="D798" s="1"/>
      <c r="E798" s="1"/>
      <c r="F798" s="1"/>
      <c r="G798" s="445"/>
      <c r="H798" s="1"/>
      <c r="I798" s="446"/>
      <c r="J798" s="1"/>
      <c r="K798" s="1"/>
      <c r="L798" s="1"/>
      <c r="M798" s="431"/>
      <c r="N798" s="1"/>
      <c r="O798" s="1"/>
      <c r="Q798" s="1"/>
      <c r="W798" s="310"/>
      <c r="X798" s="310"/>
      <c r="Y798" s="310"/>
    </row>
    <row r="799" spans="1:25" ht="18.75" customHeight="1" x14ac:dyDescent="0.2">
      <c r="A799" s="444"/>
      <c r="B799" s="1"/>
      <c r="C799" s="1"/>
      <c r="D799" s="1"/>
      <c r="E799" s="1"/>
      <c r="F799" s="1"/>
      <c r="G799" s="445"/>
      <c r="H799" s="1"/>
      <c r="I799" s="446"/>
      <c r="J799" s="1"/>
      <c r="K799" s="1"/>
      <c r="L799" s="1"/>
      <c r="M799" s="431"/>
      <c r="N799" s="1"/>
      <c r="O799" s="1"/>
      <c r="Q799" s="1"/>
      <c r="W799" s="310"/>
      <c r="X799" s="310"/>
      <c r="Y799" s="310"/>
    </row>
    <row r="800" spans="1:25" ht="18.75" customHeight="1" x14ac:dyDescent="0.2">
      <c r="A800" s="444"/>
      <c r="B800" s="1"/>
      <c r="C800" s="1"/>
      <c r="D800" s="1"/>
      <c r="E800" s="1"/>
      <c r="F800" s="1"/>
      <c r="G800" s="445"/>
      <c r="H800" s="1"/>
      <c r="I800" s="446"/>
      <c r="J800" s="1"/>
      <c r="K800" s="1"/>
      <c r="L800" s="1"/>
      <c r="M800" s="431"/>
      <c r="N800" s="1"/>
      <c r="O800" s="1"/>
      <c r="Q800" s="1"/>
      <c r="W800" s="310"/>
      <c r="X800" s="310"/>
      <c r="Y800" s="310"/>
    </row>
    <row r="801" spans="1:25" ht="18.75" customHeight="1" x14ac:dyDescent="0.2">
      <c r="A801" s="444"/>
      <c r="B801" s="1"/>
      <c r="C801" s="1"/>
      <c r="D801" s="1"/>
      <c r="E801" s="1"/>
      <c r="F801" s="1"/>
      <c r="G801" s="445"/>
      <c r="H801" s="1"/>
      <c r="I801" s="446"/>
      <c r="J801" s="1"/>
      <c r="K801" s="1"/>
      <c r="L801" s="1"/>
      <c r="M801" s="431"/>
      <c r="N801" s="1"/>
      <c r="O801" s="1"/>
      <c r="Q801" s="1"/>
      <c r="W801" s="310"/>
      <c r="X801" s="310"/>
      <c r="Y801" s="310"/>
    </row>
    <row r="802" spans="1:25" ht="18.75" customHeight="1" x14ac:dyDescent="0.2">
      <c r="A802" s="444"/>
      <c r="B802" s="1"/>
      <c r="C802" s="1"/>
      <c r="D802" s="1"/>
      <c r="E802" s="1"/>
      <c r="F802" s="1"/>
      <c r="G802" s="445"/>
      <c r="H802" s="1"/>
      <c r="I802" s="446"/>
      <c r="J802" s="1"/>
      <c r="K802" s="1"/>
      <c r="L802" s="1"/>
      <c r="M802" s="431"/>
      <c r="N802" s="1"/>
      <c r="O802" s="1"/>
      <c r="Q802" s="1"/>
      <c r="W802" s="310"/>
      <c r="X802" s="310"/>
      <c r="Y802" s="310"/>
    </row>
    <row r="803" spans="1:25" ht="18.75" customHeight="1" x14ac:dyDescent="0.2">
      <c r="A803" s="444"/>
      <c r="B803" s="1"/>
      <c r="C803" s="1"/>
      <c r="D803" s="1"/>
      <c r="E803" s="1"/>
      <c r="F803" s="1"/>
      <c r="G803" s="445"/>
      <c r="H803" s="1"/>
      <c r="I803" s="446"/>
      <c r="J803" s="1"/>
      <c r="K803" s="1"/>
      <c r="L803" s="1"/>
      <c r="M803" s="431"/>
      <c r="N803" s="1"/>
      <c r="O803" s="1"/>
      <c r="Q803" s="1"/>
      <c r="W803" s="310"/>
      <c r="X803" s="310"/>
      <c r="Y803" s="310"/>
    </row>
    <row r="804" spans="1:25" ht="18.75" customHeight="1" x14ac:dyDescent="0.2">
      <c r="A804" s="444"/>
      <c r="B804" s="1"/>
      <c r="C804" s="1"/>
      <c r="D804" s="1"/>
      <c r="E804" s="1"/>
      <c r="F804" s="1"/>
      <c r="G804" s="445"/>
      <c r="H804" s="1"/>
      <c r="I804" s="446"/>
      <c r="J804" s="1"/>
      <c r="K804" s="1"/>
      <c r="L804" s="1"/>
      <c r="M804" s="431"/>
      <c r="N804" s="1"/>
      <c r="O804" s="1"/>
      <c r="Q804" s="1"/>
      <c r="W804" s="310"/>
      <c r="X804" s="310"/>
      <c r="Y804" s="310"/>
    </row>
    <row r="805" spans="1:25" ht="18.75" customHeight="1" x14ac:dyDescent="0.2">
      <c r="A805" s="444"/>
      <c r="B805" s="1"/>
      <c r="C805" s="1"/>
      <c r="D805" s="1"/>
      <c r="E805" s="1"/>
      <c r="F805" s="1"/>
      <c r="G805" s="445"/>
      <c r="H805" s="1"/>
      <c r="I805" s="446"/>
      <c r="J805" s="1"/>
      <c r="K805" s="1"/>
      <c r="L805" s="1"/>
      <c r="M805" s="431"/>
      <c r="N805" s="1"/>
      <c r="O805" s="1"/>
      <c r="Q805" s="1"/>
      <c r="W805" s="310"/>
      <c r="X805" s="310"/>
      <c r="Y805" s="310"/>
    </row>
    <row r="806" spans="1:25" ht="18.75" customHeight="1" x14ac:dyDescent="0.2">
      <c r="A806" s="444"/>
      <c r="B806" s="1"/>
      <c r="C806" s="1"/>
      <c r="D806" s="1"/>
      <c r="E806" s="1"/>
      <c r="F806" s="1"/>
      <c r="G806" s="445"/>
      <c r="H806" s="1"/>
      <c r="I806" s="446"/>
      <c r="J806" s="1"/>
      <c r="K806" s="1"/>
      <c r="L806" s="1"/>
      <c r="M806" s="431"/>
      <c r="N806" s="1"/>
      <c r="O806" s="1"/>
      <c r="Q806" s="1"/>
      <c r="W806" s="310"/>
      <c r="X806" s="310"/>
      <c r="Y806" s="310"/>
    </row>
    <row r="807" spans="1:25" ht="18.75" customHeight="1" x14ac:dyDescent="0.2">
      <c r="A807" s="444"/>
      <c r="B807" s="1"/>
      <c r="C807" s="1"/>
      <c r="D807" s="1"/>
      <c r="E807" s="1"/>
      <c r="F807" s="1"/>
      <c r="G807" s="445"/>
      <c r="H807" s="1"/>
      <c r="I807" s="446"/>
      <c r="J807" s="1"/>
      <c r="K807" s="1"/>
      <c r="L807" s="1"/>
      <c r="M807" s="431"/>
      <c r="N807" s="1"/>
      <c r="O807" s="1"/>
      <c r="Q807" s="1"/>
      <c r="W807" s="310"/>
      <c r="X807" s="310"/>
      <c r="Y807" s="310"/>
    </row>
    <row r="808" spans="1:25" ht="18.75" customHeight="1" x14ac:dyDescent="0.2">
      <c r="A808" s="444"/>
      <c r="B808" s="1"/>
      <c r="C808" s="1"/>
      <c r="D808" s="1"/>
      <c r="E808" s="1"/>
      <c r="F808" s="1"/>
      <c r="G808" s="445"/>
      <c r="H808" s="1"/>
      <c r="I808" s="446"/>
      <c r="J808" s="1"/>
      <c r="K808" s="1"/>
      <c r="L808" s="1"/>
      <c r="M808" s="431"/>
      <c r="N808" s="1"/>
      <c r="O808" s="1"/>
      <c r="Q808" s="1"/>
      <c r="W808" s="310"/>
      <c r="X808" s="310"/>
      <c r="Y808" s="310"/>
    </row>
    <row r="809" spans="1:25" ht="18.75" customHeight="1" x14ac:dyDescent="0.2">
      <c r="A809" s="444"/>
      <c r="B809" s="1"/>
      <c r="C809" s="1"/>
      <c r="D809" s="1"/>
      <c r="E809" s="1"/>
      <c r="F809" s="1"/>
      <c r="G809" s="445"/>
      <c r="H809" s="1"/>
      <c r="I809" s="446"/>
      <c r="J809" s="1"/>
      <c r="K809" s="1"/>
      <c r="L809" s="1"/>
      <c r="M809" s="431"/>
      <c r="N809" s="1"/>
      <c r="O809" s="1"/>
      <c r="Q809" s="1"/>
      <c r="W809" s="310"/>
      <c r="X809" s="310"/>
      <c r="Y809" s="310"/>
    </row>
    <row r="810" spans="1:25" ht="18.75" customHeight="1" x14ac:dyDescent="0.2">
      <c r="A810" s="444"/>
      <c r="B810" s="1"/>
      <c r="C810" s="1"/>
      <c r="D810" s="1"/>
      <c r="E810" s="1"/>
      <c r="F810" s="1"/>
      <c r="G810" s="445"/>
      <c r="H810" s="1"/>
      <c r="I810" s="446"/>
      <c r="J810" s="1"/>
      <c r="K810" s="1"/>
      <c r="L810" s="1"/>
      <c r="M810" s="431"/>
      <c r="N810" s="1"/>
      <c r="O810" s="1"/>
      <c r="Q810" s="1"/>
      <c r="W810" s="310"/>
      <c r="X810" s="310"/>
      <c r="Y810" s="310"/>
    </row>
    <row r="811" spans="1:25" ht="18.75" customHeight="1" x14ac:dyDescent="0.2">
      <c r="A811" s="444"/>
      <c r="B811" s="1"/>
      <c r="C811" s="1"/>
      <c r="D811" s="1"/>
      <c r="E811" s="1"/>
      <c r="F811" s="1"/>
      <c r="G811" s="445"/>
      <c r="H811" s="1"/>
      <c r="I811" s="446"/>
      <c r="J811" s="1"/>
      <c r="K811" s="1"/>
      <c r="L811" s="1"/>
      <c r="M811" s="431"/>
      <c r="N811" s="1"/>
      <c r="O811" s="1"/>
      <c r="Q811" s="1"/>
      <c r="W811" s="310"/>
      <c r="X811" s="310"/>
      <c r="Y811" s="310"/>
    </row>
    <row r="812" spans="1:25" ht="18.75" customHeight="1" x14ac:dyDescent="0.2">
      <c r="A812" s="444"/>
      <c r="B812" s="1"/>
      <c r="C812" s="1"/>
      <c r="D812" s="1"/>
      <c r="E812" s="1"/>
      <c r="F812" s="1"/>
      <c r="G812" s="445"/>
      <c r="H812" s="1"/>
      <c r="I812" s="446"/>
      <c r="J812" s="1"/>
      <c r="K812" s="1"/>
      <c r="L812" s="1"/>
      <c r="M812" s="431"/>
      <c r="N812" s="1"/>
      <c r="O812" s="1"/>
      <c r="Q812" s="1"/>
      <c r="W812" s="310"/>
      <c r="X812" s="310"/>
      <c r="Y812" s="310"/>
    </row>
    <row r="813" spans="1:25" ht="18.75" customHeight="1" x14ac:dyDescent="0.2">
      <c r="A813" s="444"/>
      <c r="B813" s="1"/>
      <c r="C813" s="1"/>
      <c r="D813" s="1"/>
      <c r="E813" s="1"/>
      <c r="F813" s="1"/>
      <c r="G813" s="445"/>
      <c r="H813" s="1"/>
      <c r="I813" s="446"/>
      <c r="J813" s="1"/>
      <c r="K813" s="1"/>
      <c r="L813" s="1"/>
      <c r="M813" s="431"/>
      <c r="N813" s="1"/>
      <c r="O813" s="1"/>
      <c r="Q813" s="1"/>
      <c r="W813" s="310"/>
      <c r="X813" s="310"/>
      <c r="Y813" s="310"/>
    </row>
    <row r="814" spans="1:25" ht="18.75" customHeight="1" x14ac:dyDescent="0.2">
      <c r="A814" s="444"/>
      <c r="B814" s="1"/>
      <c r="C814" s="1"/>
      <c r="D814" s="1"/>
      <c r="E814" s="1"/>
      <c r="F814" s="1"/>
      <c r="G814" s="445"/>
      <c r="H814" s="1"/>
      <c r="I814" s="446"/>
      <c r="J814" s="1"/>
      <c r="K814" s="1"/>
      <c r="L814" s="1"/>
      <c r="M814" s="431"/>
      <c r="N814" s="1"/>
      <c r="O814" s="1"/>
      <c r="Q814" s="1"/>
      <c r="W814" s="310"/>
      <c r="X814" s="310"/>
      <c r="Y814" s="310"/>
    </row>
    <row r="815" spans="1:25" ht="18.75" customHeight="1" x14ac:dyDescent="0.2">
      <c r="A815" s="444"/>
      <c r="B815" s="1"/>
      <c r="C815" s="1"/>
      <c r="D815" s="1"/>
      <c r="E815" s="1"/>
      <c r="F815" s="1"/>
      <c r="G815" s="445"/>
      <c r="H815" s="1"/>
      <c r="I815" s="446"/>
      <c r="J815" s="1"/>
      <c r="K815" s="1"/>
      <c r="L815" s="1"/>
      <c r="M815" s="431"/>
      <c r="N815" s="1"/>
      <c r="O815" s="1"/>
      <c r="Q815" s="1"/>
      <c r="W815" s="310"/>
      <c r="X815" s="310"/>
      <c r="Y815" s="310"/>
    </row>
    <row r="816" spans="1:25" ht="18.75" customHeight="1" x14ac:dyDescent="0.2">
      <c r="A816" s="444"/>
      <c r="B816" s="1"/>
      <c r="C816" s="1"/>
      <c r="D816" s="1"/>
      <c r="E816" s="1"/>
      <c r="F816" s="1"/>
      <c r="G816" s="445"/>
      <c r="H816" s="1"/>
      <c r="I816" s="446"/>
      <c r="J816" s="1"/>
      <c r="K816" s="1"/>
      <c r="L816" s="1"/>
      <c r="M816" s="431"/>
      <c r="N816" s="1"/>
      <c r="O816" s="1"/>
      <c r="Q816" s="1"/>
      <c r="W816" s="310"/>
      <c r="X816" s="310"/>
      <c r="Y816" s="310"/>
    </row>
    <row r="817" spans="1:25" ht="18.75" customHeight="1" x14ac:dyDescent="0.2">
      <c r="A817" s="444"/>
      <c r="B817" s="1"/>
      <c r="C817" s="1"/>
      <c r="D817" s="1"/>
      <c r="E817" s="1"/>
      <c r="F817" s="1"/>
      <c r="G817" s="445"/>
      <c r="H817" s="1"/>
      <c r="I817" s="446"/>
      <c r="J817" s="1"/>
      <c r="K817" s="1"/>
      <c r="L817" s="1"/>
      <c r="M817" s="431"/>
      <c r="N817" s="1"/>
      <c r="O817" s="1"/>
      <c r="Q817" s="1"/>
      <c r="W817" s="310"/>
      <c r="X817" s="310"/>
      <c r="Y817" s="310"/>
    </row>
    <row r="818" spans="1:25" ht="18.75" customHeight="1" x14ac:dyDescent="0.2">
      <c r="A818" s="444"/>
      <c r="B818" s="1"/>
      <c r="C818" s="1"/>
      <c r="D818" s="1"/>
      <c r="E818" s="1"/>
      <c r="F818" s="1"/>
      <c r="G818" s="445"/>
      <c r="H818" s="1"/>
      <c r="I818" s="446"/>
      <c r="J818" s="1"/>
      <c r="K818" s="1"/>
      <c r="L818" s="1"/>
      <c r="M818" s="431"/>
      <c r="N818" s="1"/>
      <c r="O818" s="1"/>
      <c r="Q818" s="1"/>
      <c r="W818" s="310"/>
      <c r="X818" s="310"/>
      <c r="Y818" s="310"/>
    </row>
    <row r="819" spans="1:25" ht="18.75" customHeight="1" x14ac:dyDescent="0.2">
      <c r="A819" s="444"/>
      <c r="B819" s="1"/>
      <c r="C819" s="1"/>
      <c r="D819" s="1"/>
      <c r="E819" s="1"/>
      <c r="F819" s="1"/>
      <c r="G819" s="445"/>
      <c r="H819" s="1"/>
      <c r="I819" s="446"/>
      <c r="J819" s="1"/>
      <c r="K819" s="1"/>
      <c r="L819" s="1"/>
      <c r="M819" s="431"/>
      <c r="N819" s="1"/>
      <c r="O819" s="1"/>
      <c r="Q819" s="1"/>
      <c r="W819" s="310"/>
      <c r="X819" s="310"/>
      <c r="Y819" s="310"/>
    </row>
    <row r="820" spans="1:25" ht="18.75" customHeight="1" x14ac:dyDescent="0.2">
      <c r="A820" s="444"/>
      <c r="B820" s="1"/>
      <c r="C820" s="1"/>
      <c r="D820" s="1"/>
      <c r="E820" s="1"/>
      <c r="F820" s="1"/>
      <c r="G820" s="445"/>
      <c r="H820" s="1"/>
      <c r="I820" s="446"/>
      <c r="J820" s="1"/>
      <c r="K820" s="1"/>
      <c r="L820" s="1"/>
      <c r="M820" s="431"/>
      <c r="N820" s="1"/>
      <c r="O820" s="1"/>
      <c r="Q820" s="1"/>
      <c r="W820" s="310"/>
      <c r="X820" s="310"/>
      <c r="Y820" s="310"/>
    </row>
    <row r="821" spans="1:25" ht="18.75" customHeight="1" x14ac:dyDescent="0.2">
      <c r="A821" s="444"/>
      <c r="B821" s="1"/>
      <c r="C821" s="1"/>
      <c r="D821" s="1"/>
      <c r="E821" s="1"/>
      <c r="F821" s="1"/>
      <c r="G821" s="445"/>
      <c r="H821" s="1"/>
      <c r="I821" s="446"/>
      <c r="J821" s="1"/>
      <c r="K821" s="1"/>
      <c r="L821" s="1"/>
      <c r="M821" s="431"/>
      <c r="N821" s="1"/>
      <c r="O821" s="1"/>
      <c r="Q821" s="1"/>
      <c r="W821" s="310"/>
      <c r="X821" s="310"/>
      <c r="Y821" s="310"/>
    </row>
    <row r="822" spans="1:25" ht="18.75" customHeight="1" x14ac:dyDescent="0.2">
      <c r="A822" s="444"/>
      <c r="B822" s="1"/>
      <c r="C822" s="1"/>
      <c r="D822" s="1"/>
      <c r="E822" s="1"/>
      <c r="F822" s="1"/>
      <c r="G822" s="445"/>
      <c r="H822" s="1"/>
      <c r="I822" s="446"/>
      <c r="J822" s="1"/>
      <c r="K822" s="1"/>
      <c r="L822" s="1"/>
      <c r="M822" s="431"/>
      <c r="N822" s="1"/>
      <c r="O822" s="1"/>
      <c r="Q822" s="1"/>
      <c r="W822" s="310"/>
      <c r="X822" s="310"/>
      <c r="Y822" s="310"/>
    </row>
    <row r="823" spans="1:25" ht="18.75" customHeight="1" x14ac:dyDescent="0.2">
      <c r="A823" s="444"/>
      <c r="B823" s="1"/>
      <c r="C823" s="1"/>
      <c r="D823" s="1"/>
      <c r="E823" s="1"/>
      <c r="F823" s="1"/>
      <c r="G823" s="445"/>
      <c r="H823" s="1"/>
      <c r="I823" s="446"/>
      <c r="J823" s="1"/>
      <c r="K823" s="1"/>
      <c r="L823" s="1"/>
      <c r="M823" s="431"/>
      <c r="N823" s="1"/>
      <c r="O823" s="1"/>
      <c r="Q823" s="1"/>
      <c r="W823" s="310"/>
      <c r="X823" s="310"/>
      <c r="Y823" s="310"/>
    </row>
    <row r="824" spans="1:25" ht="18.75" customHeight="1" x14ac:dyDescent="0.2">
      <c r="A824" s="444"/>
      <c r="B824" s="1"/>
      <c r="C824" s="1"/>
      <c r="D824" s="1"/>
      <c r="E824" s="1"/>
      <c r="F824" s="1"/>
      <c r="G824" s="445"/>
      <c r="H824" s="1"/>
      <c r="I824" s="446"/>
      <c r="J824" s="1"/>
      <c r="K824" s="1"/>
      <c r="L824" s="1"/>
      <c r="M824" s="431"/>
      <c r="N824" s="1"/>
      <c r="O824" s="1"/>
      <c r="Q824" s="1"/>
      <c r="W824" s="310"/>
      <c r="X824" s="310"/>
      <c r="Y824" s="310"/>
    </row>
    <row r="825" spans="1:25" ht="18.75" customHeight="1" x14ac:dyDescent="0.2">
      <c r="A825" s="444"/>
      <c r="B825" s="1"/>
      <c r="C825" s="1"/>
      <c r="D825" s="1"/>
      <c r="E825" s="1"/>
      <c r="F825" s="1"/>
      <c r="G825" s="445"/>
      <c r="H825" s="1"/>
      <c r="I825" s="446"/>
      <c r="J825" s="1"/>
      <c r="K825" s="1"/>
      <c r="L825" s="1"/>
      <c r="M825" s="431"/>
      <c r="N825" s="1"/>
      <c r="O825" s="1"/>
      <c r="Q825" s="1"/>
      <c r="W825" s="310"/>
      <c r="X825" s="310"/>
      <c r="Y825" s="310"/>
    </row>
    <row r="826" spans="1:25" ht="18.75" customHeight="1" x14ac:dyDescent="0.2">
      <c r="A826" s="444"/>
      <c r="B826" s="1"/>
      <c r="C826" s="1"/>
      <c r="D826" s="1"/>
      <c r="E826" s="1"/>
      <c r="F826" s="1"/>
      <c r="G826" s="445"/>
      <c r="H826" s="1"/>
      <c r="I826" s="446"/>
      <c r="J826" s="1"/>
      <c r="K826" s="1"/>
      <c r="L826" s="1"/>
      <c r="M826" s="431"/>
      <c r="N826" s="1"/>
      <c r="O826" s="1"/>
      <c r="Q826" s="1"/>
      <c r="W826" s="310"/>
      <c r="X826" s="310"/>
      <c r="Y826" s="310"/>
    </row>
    <row r="827" spans="1:25" ht="18.75" customHeight="1" x14ac:dyDescent="0.2">
      <c r="A827" s="444"/>
      <c r="B827" s="1"/>
      <c r="C827" s="1"/>
      <c r="D827" s="1"/>
      <c r="E827" s="1"/>
      <c r="F827" s="1"/>
      <c r="G827" s="445"/>
      <c r="H827" s="1"/>
      <c r="I827" s="446"/>
      <c r="J827" s="1"/>
      <c r="K827" s="1"/>
      <c r="L827" s="1"/>
      <c r="M827" s="431"/>
      <c r="N827" s="1"/>
      <c r="O827" s="1"/>
      <c r="Q827" s="1"/>
      <c r="W827" s="310"/>
      <c r="X827" s="310"/>
      <c r="Y827" s="310"/>
    </row>
    <row r="828" spans="1:25" ht="18.75" customHeight="1" x14ac:dyDescent="0.2">
      <c r="A828" s="444"/>
      <c r="B828" s="1"/>
      <c r="C828" s="1"/>
      <c r="D828" s="1"/>
      <c r="E828" s="1"/>
      <c r="F828" s="1"/>
      <c r="G828" s="445"/>
      <c r="H828" s="1"/>
      <c r="I828" s="446"/>
      <c r="J828" s="1"/>
      <c r="K828" s="1"/>
      <c r="L828" s="1"/>
      <c r="M828" s="431"/>
      <c r="N828" s="1"/>
      <c r="O828" s="1"/>
      <c r="Q828" s="1"/>
      <c r="W828" s="310"/>
      <c r="X828" s="310"/>
      <c r="Y828" s="310"/>
    </row>
    <row r="829" spans="1:25" ht="18.75" customHeight="1" x14ac:dyDescent="0.2">
      <c r="A829" s="444"/>
      <c r="B829" s="1"/>
      <c r="C829" s="1"/>
      <c r="D829" s="1"/>
      <c r="E829" s="1"/>
      <c r="F829" s="1"/>
      <c r="G829" s="445"/>
      <c r="H829" s="1"/>
      <c r="I829" s="446"/>
      <c r="J829" s="1"/>
      <c r="K829" s="1"/>
      <c r="L829" s="1"/>
      <c r="M829" s="431"/>
      <c r="N829" s="1"/>
      <c r="O829" s="1"/>
      <c r="Q829" s="1"/>
      <c r="W829" s="310"/>
      <c r="X829" s="310"/>
      <c r="Y829" s="310"/>
    </row>
    <row r="830" spans="1:25" ht="18.75" customHeight="1" x14ac:dyDescent="0.2">
      <c r="A830" s="444"/>
      <c r="B830" s="1"/>
      <c r="C830" s="1"/>
      <c r="D830" s="1"/>
      <c r="E830" s="1"/>
      <c r="F830" s="1"/>
      <c r="G830" s="445"/>
      <c r="H830" s="1"/>
      <c r="I830" s="446"/>
      <c r="J830" s="1"/>
      <c r="K830" s="1"/>
      <c r="L830" s="1"/>
      <c r="M830" s="431"/>
      <c r="N830" s="1"/>
      <c r="O830" s="1"/>
      <c r="Q830" s="1"/>
      <c r="W830" s="310"/>
      <c r="X830" s="310"/>
      <c r="Y830" s="310"/>
    </row>
    <row r="831" spans="1:25" ht="18.75" customHeight="1" x14ac:dyDescent="0.2">
      <c r="A831" s="444"/>
      <c r="B831" s="1"/>
      <c r="C831" s="1"/>
      <c r="D831" s="1"/>
      <c r="E831" s="1"/>
      <c r="F831" s="1"/>
      <c r="G831" s="445"/>
      <c r="H831" s="1"/>
      <c r="I831" s="446"/>
      <c r="J831" s="1"/>
      <c r="K831" s="1"/>
      <c r="L831" s="1"/>
      <c r="M831" s="431"/>
      <c r="N831" s="1"/>
      <c r="O831" s="1"/>
      <c r="Q831" s="1"/>
      <c r="W831" s="310"/>
      <c r="X831" s="310"/>
      <c r="Y831" s="310"/>
    </row>
    <row r="832" spans="1:25" ht="18.75" customHeight="1" x14ac:dyDescent="0.2">
      <c r="A832" s="444"/>
      <c r="B832" s="1"/>
      <c r="C832" s="1"/>
      <c r="D832" s="1"/>
      <c r="E832" s="1"/>
      <c r="F832" s="1"/>
      <c r="G832" s="445"/>
      <c r="H832" s="1"/>
      <c r="I832" s="446"/>
      <c r="J832" s="1"/>
      <c r="K832" s="1"/>
      <c r="L832" s="1"/>
      <c r="M832" s="431"/>
      <c r="N832" s="1"/>
      <c r="O832" s="1"/>
      <c r="Q832" s="1"/>
      <c r="W832" s="310"/>
      <c r="X832" s="310"/>
      <c r="Y832" s="310"/>
    </row>
    <row r="833" spans="1:25" ht="18.75" customHeight="1" x14ac:dyDescent="0.2">
      <c r="A833" s="444"/>
      <c r="B833" s="1"/>
      <c r="C833" s="1"/>
      <c r="D833" s="1"/>
      <c r="E833" s="1"/>
      <c r="F833" s="1"/>
      <c r="G833" s="445"/>
      <c r="H833" s="1"/>
      <c r="I833" s="446"/>
      <c r="J833" s="1"/>
      <c r="K833" s="1"/>
      <c r="L833" s="1"/>
      <c r="M833" s="431"/>
      <c r="N833" s="1"/>
      <c r="O833" s="1"/>
      <c r="Q833" s="1"/>
      <c r="W833" s="310"/>
      <c r="X833" s="310"/>
      <c r="Y833" s="310"/>
    </row>
    <row r="834" spans="1:25" ht="18.75" customHeight="1" x14ac:dyDescent="0.2">
      <c r="A834" s="444"/>
      <c r="B834" s="1"/>
      <c r="C834" s="1"/>
      <c r="D834" s="1"/>
      <c r="E834" s="1"/>
      <c r="F834" s="1"/>
      <c r="G834" s="445"/>
      <c r="H834" s="1"/>
      <c r="I834" s="446"/>
      <c r="J834" s="1"/>
      <c r="K834" s="1"/>
      <c r="L834" s="1"/>
      <c r="M834" s="431"/>
      <c r="N834" s="1"/>
      <c r="O834" s="1"/>
      <c r="Q834" s="1"/>
      <c r="W834" s="310"/>
      <c r="X834" s="310"/>
      <c r="Y834" s="310"/>
    </row>
    <row r="835" spans="1:25" ht="18.75" customHeight="1" x14ac:dyDescent="0.2">
      <c r="A835" s="444"/>
      <c r="B835" s="1"/>
      <c r="C835" s="1"/>
      <c r="D835" s="1"/>
      <c r="E835" s="1"/>
      <c r="F835" s="1"/>
      <c r="G835" s="445"/>
      <c r="H835" s="1"/>
      <c r="I835" s="446"/>
      <c r="J835" s="1"/>
      <c r="K835" s="1"/>
      <c r="L835" s="1"/>
      <c r="M835" s="431"/>
      <c r="N835" s="1"/>
      <c r="O835" s="1"/>
      <c r="Q835" s="1"/>
      <c r="W835" s="310"/>
      <c r="X835" s="310"/>
      <c r="Y835" s="310"/>
    </row>
    <row r="836" spans="1:25" ht="18.75" customHeight="1" x14ac:dyDescent="0.2">
      <c r="A836" s="444"/>
      <c r="B836" s="1"/>
      <c r="C836" s="1"/>
      <c r="D836" s="1"/>
      <c r="E836" s="1"/>
      <c r="F836" s="1"/>
      <c r="G836" s="445"/>
      <c r="H836" s="1"/>
      <c r="I836" s="446"/>
      <c r="J836" s="1"/>
      <c r="K836" s="1"/>
      <c r="L836" s="1"/>
      <c r="M836" s="431"/>
      <c r="N836" s="1"/>
      <c r="O836" s="1"/>
      <c r="Q836" s="1"/>
      <c r="W836" s="310"/>
      <c r="X836" s="310"/>
      <c r="Y836" s="310"/>
    </row>
    <row r="837" spans="1:25" ht="18.75" customHeight="1" x14ac:dyDescent="0.2">
      <c r="A837" s="444"/>
      <c r="B837" s="1"/>
      <c r="C837" s="1"/>
      <c r="D837" s="1"/>
      <c r="E837" s="1"/>
      <c r="F837" s="1"/>
      <c r="G837" s="445"/>
      <c r="H837" s="1"/>
      <c r="I837" s="446"/>
      <c r="J837" s="1"/>
      <c r="K837" s="1"/>
      <c r="L837" s="1"/>
      <c r="M837" s="431"/>
      <c r="N837" s="1"/>
      <c r="O837" s="1"/>
      <c r="Q837" s="1"/>
      <c r="W837" s="310"/>
      <c r="X837" s="310"/>
      <c r="Y837" s="310"/>
    </row>
    <row r="838" spans="1:25" ht="18.75" customHeight="1" x14ac:dyDescent="0.2">
      <c r="A838" s="444"/>
      <c r="B838" s="1"/>
      <c r="C838" s="1"/>
      <c r="D838" s="1"/>
      <c r="E838" s="1"/>
      <c r="F838" s="1"/>
      <c r="G838" s="445"/>
      <c r="H838" s="1"/>
      <c r="I838" s="446"/>
      <c r="J838" s="1"/>
      <c r="K838" s="1"/>
      <c r="L838" s="1"/>
      <c r="M838" s="431"/>
      <c r="N838" s="1"/>
      <c r="O838" s="1"/>
      <c r="Q838" s="1"/>
      <c r="W838" s="310"/>
      <c r="X838" s="310"/>
      <c r="Y838" s="310"/>
    </row>
    <row r="839" spans="1:25" ht="18.75" customHeight="1" x14ac:dyDescent="0.2">
      <c r="A839" s="444"/>
      <c r="B839" s="1"/>
      <c r="C839" s="1"/>
      <c r="D839" s="1"/>
      <c r="E839" s="1"/>
      <c r="F839" s="1"/>
      <c r="G839" s="445"/>
      <c r="H839" s="1"/>
      <c r="I839" s="446"/>
      <c r="J839" s="1"/>
      <c r="K839" s="1"/>
      <c r="L839" s="1"/>
      <c r="M839" s="431"/>
      <c r="N839" s="1"/>
      <c r="O839" s="1"/>
      <c r="Q839" s="1"/>
      <c r="W839" s="310"/>
      <c r="X839" s="310"/>
      <c r="Y839" s="310"/>
    </row>
    <row r="840" spans="1:25" ht="18.75" customHeight="1" x14ac:dyDescent="0.2">
      <c r="A840" s="444"/>
      <c r="B840" s="1"/>
      <c r="C840" s="1"/>
      <c r="D840" s="1"/>
      <c r="E840" s="1"/>
      <c r="F840" s="1"/>
      <c r="G840" s="445"/>
      <c r="H840" s="1"/>
      <c r="I840" s="446"/>
      <c r="J840" s="1"/>
      <c r="K840" s="1"/>
      <c r="L840" s="1"/>
      <c r="M840" s="431"/>
      <c r="N840" s="1"/>
      <c r="O840" s="1"/>
      <c r="Q840" s="1"/>
      <c r="W840" s="310"/>
      <c r="X840" s="310"/>
      <c r="Y840" s="310"/>
    </row>
    <row r="841" spans="1:25" ht="18.75" customHeight="1" x14ac:dyDescent="0.2">
      <c r="A841" s="444"/>
      <c r="B841" s="1"/>
      <c r="C841" s="1"/>
      <c r="D841" s="1"/>
      <c r="E841" s="1"/>
      <c r="F841" s="1"/>
      <c r="G841" s="445"/>
      <c r="H841" s="1"/>
      <c r="I841" s="446"/>
      <c r="J841" s="1"/>
      <c r="K841" s="1"/>
      <c r="L841" s="1"/>
      <c r="M841" s="431"/>
      <c r="N841" s="1"/>
      <c r="O841" s="1"/>
      <c r="Q841" s="1"/>
      <c r="W841" s="310"/>
      <c r="X841" s="310"/>
      <c r="Y841" s="310"/>
    </row>
    <row r="842" spans="1:25" ht="18.75" customHeight="1" x14ac:dyDescent="0.2">
      <c r="A842" s="444"/>
      <c r="B842" s="1"/>
      <c r="C842" s="1"/>
      <c r="D842" s="1"/>
      <c r="E842" s="1"/>
      <c r="F842" s="1"/>
      <c r="G842" s="445"/>
      <c r="H842" s="1"/>
      <c r="I842" s="446"/>
      <c r="J842" s="1"/>
      <c r="K842" s="1"/>
      <c r="L842" s="1"/>
      <c r="M842" s="431"/>
      <c r="N842" s="1"/>
      <c r="O842" s="1"/>
      <c r="Q842" s="1"/>
      <c r="W842" s="310"/>
      <c r="X842" s="310"/>
      <c r="Y842" s="310"/>
    </row>
    <row r="843" spans="1:25" ht="18.75" customHeight="1" x14ac:dyDescent="0.2">
      <c r="A843" s="444"/>
      <c r="B843" s="1"/>
      <c r="C843" s="1"/>
      <c r="D843" s="1"/>
      <c r="E843" s="1"/>
      <c r="F843" s="1"/>
      <c r="G843" s="445"/>
      <c r="H843" s="1"/>
      <c r="I843" s="446"/>
      <c r="J843" s="1"/>
      <c r="K843" s="1"/>
      <c r="L843" s="1"/>
      <c r="M843" s="431"/>
      <c r="N843" s="1"/>
      <c r="O843" s="1"/>
      <c r="Q843" s="1"/>
      <c r="W843" s="310"/>
      <c r="X843" s="310"/>
      <c r="Y843" s="310"/>
    </row>
    <row r="844" spans="1:25" ht="18.75" customHeight="1" x14ac:dyDescent="0.2">
      <c r="A844" s="444"/>
      <c r="B844" s="1"/>
      <c r="C844" s="1"/>
      <c r="D844" s="1"/>
      <c r="E844" s="1"/>
      <c r="F844" s="1"/>
      <c r="G844" s="445"/>
      <c r="H844" s="1"/>
      <c r="I844" s="446"/>
      <c r="J844" s="1"/>
      <c r="K844" s="1"/>
      <c r="L844" s="1"/>
      <c r="M844" s="431"/>
      <c r="N844" s="1"/>
      <c r="O844" s="1"/>
      <c r="Q844" s="1"/>
      <c r="W844" s="310"/>
      <c r="X844" s="310"/>
      <c r="Y844" s="310"/>
    </row>
    <row r="845" spans="1:25" ht="18.75" customHeight="1" x14ac:dyDescent="0.2">
      <c r="A845" s="444"/>
      <c r="B845" s="1"/>
      <c r="C845" s="1"/>
      <c r="D845" s="1"/>
      <c r="E845" s="1"/>
      <c r="F845" s="1"/>
      <c r="G845" s="445"/>
      <c r="H845" s="1"/>
      <c r="I845" s="446"/>
      <c r="J845" s="1"/>
      <c r="K845" s="1"/>
      <c r="L845" s="1"/>
      <c r="M845" s="431"/>
      <c r="N845" s="1"/>
      <c r="O845" s="1"/>
      <c r="Q845" s="1"/>
      <c r="W845" s="310"/>
      <c r="X845" s="310"/>
      <c r="Y845" s="310"/>
    </row>
    <row r="846" spans="1:25" ht="18.75" customHeight="1" x14ac:dyDescent="0.2">
      <c r="A846" s="444"/>
      <c r="B846" s="1"/>
      <c r="C846" s="1"/>
      <c r="D846" s="1"/>
      <c r="E846" s="1"/>
      <c r="F846" s="1"/>
      <c r="G846" s="445"/>
      <c r="H846" s="1"/>
      <c r="I846" s="446"/>
      <c r="J846" s="1"/>
      <c r="K846" s="1"/>
      <c r="L846" s="1"/>
      <c r="M846" s="431"/>
      <c r="N846" s="1"/>
      <c r="O846" s="1"/>
      <c r="Q846" s="1"/>
      <c r="W846" s="310"/>
      <c r="X846" s="310"/>
      <c r="Y846" s="310"/>
    </row>
    <row r="847" spans="1:25" ht="18.75" customHeight="1" x14ac:dyDescent="0.2">
      <c r="A847" s="444"/>
      <c r="B847" s="1"/>
      <c r="C847" s="1"/>
      <c r="D847" s="1"/>
      <c r="E847" s="1"/>
      <c r="F847" s="1"/>
      <c r="G847" s="445"/>
      <c r="H847" s="1"/>
      <c r="I847" s="446"/>
      <c r="J847" s="1"/>
      <c r="K847" s="1"/>
      <c r="L847" s="1"/>
      <c r="M847" s="431"/>
      <c r="N847" s="1"/>
      <c r="O847" s="1"/>
      <c r="Q847" s="1"/>
      <c r="W847" s="310"/>
      <c r="X847" s="310"/>
      <c r="Y847" s="310"/>
    </row>
    <row r="848" spans="1:25" ht="18.75" customHeight="1" x14ac:dyDescent="0.2">
      <c r="A848" s="444"/>
      <c r="B848" s="1"/>
      <c r="C848" s="1"/>
      <c r="D848" s="1"/>
      <c r="E848" s="1"/>
      <c r="F848" s="1"/>
      <c r="G848" s="445"/>
      <c r="H848" s="1"/>
      <c r="I848" s="446"/>
      <c r="J848" s="1"/>
      <c r="K848" s="1"/>
      <c r="L848" s="1"/>
      <c r="M848" s="431"/>
      <c r="N848" s="1"/>
      <c r="O848" s="1"/>
      <c r="Q848" s="1"/>
      <c r="W848" s="310"/>
      <c r="X848" s="310"/>
      <c r="Y848" s="310"/>
    </row>
    <row r="849" spans="1:25" ht="18.75" customHeight="1" x14ac:dyDescent="0.2">
      <c r="A849" s="444"/>
      <c r="B849" s="1"/>
      <c r="C849" s="1"/>
      <c r="D849" s="1"/>
      <c r="E849" s="1"/>
      <c r="F849" s="1"/>
      <c r="G849" s="445"/>
      <c r="H849" s="1"/>
      <c r="I849" s="446"/>
      <c r="J849" s="1"/>
      <c r="K849" s="1"/>
      <c r="L849" s="1"/>
      <c r="M849" s="431"/>
      <c r="N849" s="1"/>
      <c r="O849" s="1"/>
      <c r="Q849" s="1"/>
      <c r="W849" s="310"/>
      <c r="X849" s="310"/>
      <c r="Y849" s="310"/>
    </row>
    <row r="850" spans="1:25" ht="18.75" customHeight="1" x14ac:dyDescent="0.2">
      <c r="A850" s="444"/>
      <c r="B850" s="1"/>
      <c r="C850" s="1"/>
      <c r="D850" s="1"/>
      <c r="E850" s="1"/>
      <c r="F850" s="1"/>
      <c r="G850" s="445"/>
      <c r="H850" s="1"/>
      <c r="I850" s="446"/>
      <c r="J850" s="1"/>
      <c r="K850" s="1"/>
      <c r="L850" s="1"/>
      <c r="M850" s="431"/>
      <c r="N850" s="1"/>
      <c r="O850" s="1"/>
      <c r="Q850" s="1"/>
      <c r="W850" s="310"/>
      <c r="X850" s="310"/>
      <c r="Y850" s="310"/>
    </row>
    <row r="851" spans="1:25" ht="18.75" customHeight="1" x14ac:dyDescent="0.2">
      <c r="A851" s="444"/>
      <c r="B851" s="1"/>
      <c r="C851" s="1"/>
      <c r="D851" s="1"/>
      <c r="E851" s="1"/>
      <c r="F851" s="1"/>
      <c r="G851" s="445"/>
      <c r="H851" s="1"/>
      <c r="I851" s="446"/>
      <c r="J851" s="1"/>
      <c r="K851" s="1"/>
      <c r="L851" s="1"/>
      <c r="M851" s="431"/>
      <c r="N851" s="1"/>
      <c r="O851" s="1"/>
      <c r="Q851" s="1"/>
      <c r="W851" s="310"/>
      <c r="X851" s="310"/>
      <c r="Y851" s="310"/>
    </row>
    <row r="852" spans="1:25" ht="18.75" customHeight="1" x14ac:dyDescent="0.2">
      <c r="A852" s="444"/>
      <c r="B852" s="1"/>
      <c r="C852" s="1"/>
      <c r="D852" s="1"/>
      <c r="E852" s="1"/>
      <c r="F852" s="1"/>
      <c r="G852" s="445"/>
      <c r="H852" s="1"/>
      <c r="I852" s="446"/>
      <c r="J852" s="1"/>
      <c r="K852" s="1"/>
      <c r="L852" s="1"/>
      <c r="M852" s="431"/>
      <c r="N852" s="1"/>
      <c r="O852" s="1"/>
      <c r="Q852" s="1"/>
      <c r="W852" s="310"/>
      <c r="X852" s="310"/>
      <c r="Y852" s="310"/>
    </row>
    <row r="853" spans="1:25" ht="18.75" customHeight="1" x14ac:dyDescent="0.2">
      <c r="A853" s="444"/>
      <c r="B853" s="1"/>
      <c r="C853" s="1"/>
      <c r="D853" s="1"/>
      <c r="E853" s="1"/>
      <c r="F853" s="1"/>
      <c r="G853" s="445"/>
      <c r="H853" s="1"/>
      <c r="I853" s="446"/>
      <c r="J853" s="1"/>
      <c r="K853" s="1"/>
      <c r="L853" s="1"/>
      <c r="M853" s="431"/>
      <c r="N853" s="1"/>
      <c r="O853" s="1"/>
      <c r="Q853" s="1"/>
      <c r="W853" s="310"/>
      <c r="X853" s="310"/>
      <c r="Y853" s="310"/>
    </row>
    <row r="854" spans="1:25" ht="18.75" customHeight="1" x14ac:dyDescent="0.2">
      <c r="A854" s="444"/>
      <c r="B854" s="1"/>
      <c r="C854" s="1"/>
      <c r="D854" s="1"/>
      <c r="E854" s="1"/>
      <c r="F854" s="1"/>
      <c r="G854" s="445"/>
      <c r="H854" s="1"/>
      <c r="I854" s="446"/>
      <c r="J854" s="1"/>
      <c r="K854" s="1"/>
      <c r="L854" s="1"/>
      <c r="M854" s="431"/>
      <c r="N854" s="1"/>
      <c r="O854" s="1"/>
      <c r="Q854" s="1"/>
      <c r="W854" s="310"/>
      <c r="X854" s="310"/>
      <c r="Y854" s="310"/>
    </row>
    <row r="855" spans="1:25" ht="18.75" customHeight="1" x14ac:dyDescent="0.2">
      <c r="A855" s="444"/>
      <c r="B855" s="1"/>
      <c r="C855" s="1"/>
      <c r="D855" s="1"/>
      <c r="E855" s="1"/>
      <c r="F855" s="1"/>
      <c r="G855" s="445"/>
      <c r="H855" s="1"/>
      <c r="I855" s="446"/>
      <c r="J855" s="1"/>
      <c r="K855" s="1"/>
      <c r="L855" s="1"/>
      <c r="M855" s="431"/>
      <c r="N855" s="1"/>
      <c r="O855" s="1"/>
      <c r="Q855" s="1"/>
      <c r="W855" s="310"/>
      <c r="X855" s="310"/>
      <c r="Y855" s="310"/>
    </row>
    <row r="856" spans="1:25" ht="18.75" customHeight="1" x14ac:dyDescent="0.2">
      <c r="A856" s="444"/>
      <c r="B856" s="1"/>
      <c r="C856" s="1"/>
      <c r="D856" s="1"/>
      <c r="E856" s="1"/>
      <c r="F856" s="1"/>
      <c r="G856" s="445"/>
      <c r="H856" s="1"/>
      <c r="I856" s="446"/>
      <c r="J856" s="1"/>
      <c r="K856" s="1"/>
      <c r="L856" s="1"/>
      <c r="M856" s="431"/>
      <c r="N856" s="1"/>
      <c r="O856" s="1"/>
      <c r="Q856" s="1"/>
      <c r="W856" s="310"/>
      <c r="X856" s="310"/>
      <c r="Y856" s="310"/>
    </row>
    <row r="857" spans="1:25" ht="18.75" customHeight="1" x14ac:dyDescent="0.2">
      <c r="A857" s="444"/>
      <c r="B857" s="1"/>
      <c r="C857" s="1"/>
      <c r="D857" s="1"/>
      <c r="E857" s="1"/>
      <c r="F857" s="1"/>
      <c r="G857" s="445"/>
      <c r="H857" s="1"/>
      <c r="I857" s="446"/>
      <c r="J857" s="1"/>
      <c r="K857" s="1"/>
      <c r="L857" s="1"/>
      <c r="M857" s="431"/>
      <c r="N857" s="1"/>
      <c r="O857" s="1"/>
      <c r="Q857" s="1"/>
      <c r="W857" s="310"/>
      <c r="X857" s="310"/>
      <c r="Y857" s="310"/>
    </row>
    <row r="858" spans="1:25" ht="18.75" customHeight="1" x14ac:dyDescent="0.2">
      <c r="A858" s="444"/>
      <c r="B858" s="1"/>
      <c r="C858" s="1"/>
      <c r="D858" s="1"/>
      <c r="E858" s="1"/>
      <c r="F858" s="1"/>
      <c r="G858" s="445"/>
      <c r="H858" s="1"/>
      <c r="I858" s="446"/>
      <c r="J858" s="1"/>
      <c r="K858" s="1"/>
      <c r="L858" s="1"/>
      <c r="M858" s="431"/>
      <c r="N858" s="1"/>
      <c r="O858" s="1"/>
      <c r="Q858" s="1"/>
      <c r="W858" s="310"/>
      <c r="X858" s="310"/>
      <c r="Y858" s="310"/>
    </row>
    <row r="859" spans="1:25" ht="18.75" customHeight="1" x14ac:dyDescent="0.2">
      <c r="A859" s="444"/>
      <c r="B859" s="1"/>
      <c r="C859" s="1"/>
      <c r="D859" s="1"/>
      <c r="E859" s="1"/>
      <c r="F859" s="1"/>
      <c r="G859" s="445"/>
      <c r="H859" s="1"/>
      <c r="I859" s="446"/>
      <c r="J859" s="1"/>
      <c r="K859" s="1"/>
      <c r="L859" s="1"/>
      <c r="M859" s="431"/>
      <c r="N859" s="1"/>
      <c r="O859" s="1"/>
      <c r="Q859" s="1"/>
      <c r="W859" s="310"/>
      <c r="X859" s="310"/>
      <c r="Y859" s="310"/>
    </row>
    <row r="860" spans="1:25" ht="18.75" customHeight="1" x14ac:dyDescent="0.2">
      <c r="A860" s="444"/>
      <c r="B860" s="1"/>
      <c r="C860" s="1"/>
      <c r="D860" s="1"/>
      <c r="E860" s="1"/>
      <c r="F860" s="1"/>
      <c r="G860" s="445"/>
      <c r="H860" s="1"/>
      <c r="I860" s="446"/>
      <c r="J860" s="1"/>
      <c r="K860" s="1"/>
      <c r="L860" s="1"/>
      <c r="M860" s="431"/>
      <c r="N860" s="1"/>
      <c r="O860" s="1"/>
      <c r="Q860" s="1"/>
      <c r="W860" s="310"/>
      <c r="X860" s="310"/>
      <c r="Y860" s="310"/>
    </row>
    <row r="861" spans="1:25" ht="18.75" customHeight="1" x14ac:dyDescent="0.2">
      <c r="A861" s="444"/>
      <c r="B861" s="1"/>
      <c r="C861" s="1"/>
      <c r="D861" s="1"/>
      <c r="E861" s="1"/>
      <c r="F861" s="1"/>
      <c r="G861" s="445"/>
      <c r="H861" s="1"/>
      <c r="I861" s="446"/>
      <c r="J861" s="1"/>
      <c r="K861" s="1"/>
      <c r="L861" s="1"/>
      <c r="M861" s="431"/>
      <c r="N861" s="1"/>
      <c r="O861" s="1"/>
      <c r="Q861" s="1"/>
      <c r="W861" s="310"/>
      <c r="X861" s="310"/>
      <c r="Y861" s="310"/>
    </row>
    <row r="862" spans="1:25" ht="18.75" customHeight="1" x14ac:dyDescent="0.2">
      <c r="A862" s="444"/>
      <c r="B862" s="1"/>
      <c r="C862" s="1"/>
      <c r="D862" s="1"/>
      <c r="E862" s="1"/>
      <c r="F862" s="1"/>
      <c r="G862" s="445"/>
      <c r="H862" s="1"/>
      <c r="I862" s="446"/>
      <c r="J862" s="1"/>
      <c r="K862" s="1"/>
      <c r="L862" s="1"/>
      <c r="M862" s="431"/>
      <c r="N862" s="1"/>
      <c r="O862" s="1"/>
      <c r="Q862" s="1"/>
      <c r="W862" s="310"/>
      <c r="X862" s="310"/>
      <c r="Y862" s="310"/>
    </row>
    <row r="863" spans="1:25" ht="18.75" customHeight="1" x14ac:dyDescent="0.2">
      <c r="A863" s="444"/>
      <c r="B863" s="1"/>
      <c r="C863" s="1"/>
      <c r="D863" s="1"/>
      <c r="E863" s="1"/>
      <c r="F863" s="1"/>
      <c r="G863" s="445"/>
      <c r="H863" s="1"/>
      <c r="I863" s="446"/>
      <c r="J863" s="1"/>
      <c r="K863" s="1"/>
      <c r="L863" s="1"/>
      <c r="M863" s="431"/>
      <c r="N863" s="1"/>
      <c r="O863" s="1"/>
      <c r="Q863" s="1"/>
      <c r="W863" s="310"/>
      <c r="X863" s="310"/>
      <c r="Y863" s="310"/>
    </row>
    <row r="864" spans="1:25" ht="18.75" customHeight="1" x14ac:dyDescent="0.2">
      <c r="A864" s="444"/>
      <c r="B864" s="1"/>
      <c r="C864" s="1"/>
      <c r="D864" s="1"/>
      <c r="E864" s="1"/>
      <c r="F864" s="1"/>
      <c r="G864" s="445"/>
      <c r="H864" s="1"/>
      <c r="I864" s="446"/>
      <c r="J864" s="1"/>
      <c r="K864" s="1"/>
      <c r="L864" s="1"/>
      <c r="M864" s="431"/>
      <c r="N864" s="1"/>
      <c r="O864" s="1"/>
      <c r="Q864" s="1"/>
      <c r="W864" s="310"/>
      <c r="X864" s="310"/>
      <c r="Y864" s="310"/>
    </row>
    <row r="865" spans="1:25" ht="18.75" customHeight="1" x14ac:dyDescent="0.2">
      <c r="A865" s="444"/>
      <c r="B865" s="1"/>
      <c r="C865" s="1"/>
      <c r="D865" s="1"/>
      <c r="E865" s="1"/>
      <c r="F865" s="1"/>
      <c r="G865" s="445"/>
      <c r="H865" s="1"/>
      <c r="I865" s="446"/>
      <c r="J865" s="1"/>
      <c r="K865" s="1"/>
      <c r="L865" s="1"/>
      <c r="M865" s="431"/>
      <c r="N865" s="1"/>
      <c r="O865" s="1"/>
      <c r="Q865" s="1"/>
      <c r="W865" s="310"/>
      <c r="X865" s="310"/>
      <c r="Y865" s="310"/>
    </row>
    <row r="866" spans="1:25" ht="18.75" customHeight="1" x14ac:dyDescent="0.2">
      <c r="A866" s="444"/>
      <c r="B866" s="1"/>
      <c r="C866" s="1"/>
      <c r="D866" s="1"/>
      <c r="E866" s="1"/>
      <c r="F866" s="1"/>
      <c r="G866" s="445"/>
      <c r="H866" s="1"/>
      <c r="I866" s="446"/>
      <c r="J866" s="1"/>
      <c r="K866" s="1"/>
      <c r="L866" s="1"/>
      <c r="M866" s="431"/>
      <c r="N866" s="1"/>
      <c r="O866" s="1"/>
      <c r="Q866" s="1"/>
      <c r="W866" s="310"/>
      <c r="X866" s="310"/>
      <c r="Y866" s="310"/>
    </row>
    <row r="867" spans="1:25" ht="18.75" customHeight="1" x14ac:dyDescent="0.2">
      <c r="A867" s="444"/>
      <c r="B867" s="1"/>
      <c r="C867" s="1"/>
      <c r="D867" s="1"/>
      <c r="E867" s="1"/>
      <c r="F867" s="1"/>
      <c r="G867" s="445"/>
      <c r="H867" s="1"/>
      <c r="I867" s="446"/>
      <c r="J867" s="1"/>
      <c r="K867" s="1"/>
      <c r="L867" s="1"/>
      <c r="M867" s="431"/>
      <c r="N867" s="1"/>
      <c r="O867" s="1"/>
      <c r="Q867" s="1"/>
      <c r="W867" s="310"/>
      <c r="X867" s="310"/>
      <c r="Y867" s="310"/>
    </row>
    <row r="868" spans="1:25" ht="18.75" customHeight="1" x14ac:dyDescent="0.2">
      <c r="A868" s="444"/>
      <c r="B868" s="1"/>
      <c r="C868" s="1"/>
      <c r="D868" s="1"/>
      <c r="E868" s="1"/>
      <c r="F868" s="1"/>
      <c r="G868" s="445"/>
      <c r="H868" s="1"/>
      <c r="I868" s="446"/>
      <c r="J868" s="1"/>
      <c r="K868" s="1"/>
      <c r="L868" s="1"/>
      <c r="M868" s="431"/>
      <c r="N868" s="1"/>
      <c r="O868" s="1"/>
      <c r="Q868" s="1"/>
      <c r="W868" s="310"/>
      <c r="X868" s="310"/>
      <c r="Y868" s="310"/>
    </row>
    <row r="869" spans="1:25" ht="18.75" customHeight="1" x14ac:dyDescent="0.2">
      <c r="A869" s="444"/>
      <c r="B869" s="1"/>
      <c r="C869" s="1"/>
      <c r="D869" s="1"/>
      <c r="E869" s="1"/>
      <c r="F869" s="1"/>
      <c r="G869" s="445"/>
      <c r="H869" s="1"/>
      <c r="I869" s="446"/>
      <c r="J869" s="1"/>
      <c r="K869" s="1"/>
      <c r="L869" s="1"/>
      <c r="M869" s="431"/>
      <c r="N869" s="1"/>
      <c r="O869" s="1"/>
      <c r="Q869" s="1"/>
      <c r="W869" s="310"/>
      <c r="X869" s="310"/>
      <c r="Y869" s="310"/>
    </row>
    <row r="870" spans="1:25" ht="18.75" customHeight="1" x14ac:dyDescent="0.2">
      <c r="A870" s="444"/>
      <c r="B870" s="1"/>
      <c r="C870" s="1"/>
      <c r="D870" s="1"/>
      <c r="E870" s="1"/>
      <c r="F870" s="1"/>
      <c r="G870" s="445"/>
      <c r="H870" s="1"/>
      <c r="I870" s="446"/>
      <c r="J870" s="1"/>
      <c r="K870" s="1"/>
      <c r="L870" s="1"/>
      <c r="M870" s="431"/>
      <c r="N870" s="1"/>
      <c r="O870" s="1"/>
      <c r="Q870" s="1"/>
      <c r="W870" s="310"/>
      <c r="X870" s="310"/>
      <c r="Y870" s="310"/>
    </row>
    <row r="871" spans="1:25" ht="18.75" customHeight="1" x14ac:dyDescent="0.2">
      <c r="A871" s="444"/>
      <c r="B871" s="1"/>
      <c r="C871" s="1"/>
      <c r="D871" s="1"/>
      <c r="E871" s="1"/>
      <c r="F871" s="1"/>
      <c r="G871" s="445"/>
      <c r="H871" s="1"/>
      <c r="I871" s="446"/>
      <c r="J871" s="1"/>
      <c r="K871" s="1"/>
      <c r="L871" s="1"/>
      <c r="M871" s="431"/>
      <c r="N871" s="1"/>
      <c r="O871" s="1"/>
      <c r="Q871" s="1"/>
      <c r="W871" s="310"/>
      <c r="X871" s="310"/>
      <c r="Y871" s="310"/>
    </row>
    <row r="872" spans="1:25" ht="18.75" customHeight="1" x14ac:dyDescent="0.2">
      <c r="A872" s="444"/>
      <c r="B872" s="1"/>
      <c r="C872" s="1"/>
      <c r="D872" s="1"/>
      <c r="E872" s="1"/>
      <c r="F872" s="1"/>
      <c r="G872" s="445"/>
      <c r="H872" s="1"/>
      <c r="I872" s="446"/>
      <c r="J872" s="1"/>
      <c r="K872" s="1"/>
      <c r="L872" s="1"/>
      <c r="M872" s="431"/>
      <c r="N872" s="1"/>
      <c r="O872" s="1"/>
      <c r="Q872" s="1"/>
      <c r="W872" s="310"/>
      <c r="X872" s="310"/>
      <c r="Y872" s="310"/>
    </row>
    <row r="873" spans="1:25" ht="18.75" customHeight="1" x14ac:dyDescent="0.2">
      <c r="A873" s="444"/>
      <c r="B873" s="1"/>
      <c r="C873" s="1"/>
      <c r="D873" s="1"/>
      <c r="E873" s="1"/>
      <c r="F873" s="1"/>
      <c r="G873" s="445"/>
      <c r="H873" s="1"/>
      <c r="I873" s="446"/>
      <c r="J873" s="1"/>
      <c r="K873" s="1"/>
      <c r="L873" s="1"/>
      <c r="M873" s="431"/>
      <c r="N873" s="1"/>
      <c r="O873" s="1"/>
      <c r="Q873" s="1"/>
      <c r="W873" s="310"/>
      <c r="X873" s="310"/>
      <c r="Y873" s="310"/>
    </row>
    <row r="874" spans="1:25" ht="18.75" customHeight="1" x14ac:dyDescent="0.2">
      <c r="A874" s="444"/>
      <c r="B874" s="1"/>
      <c r="C874" s="1"/>
      <c r="D874" s="1"/>
      <c r="E874" s="1"/>
      <c r="F874" s="1"/>
      <c r="G874" s="445"/>
      <c r="H874" s="1"/>
      <c r="I874" s="446"/>
      <c r="J874" s="1"/>
      <c r="K874" s="1"/>
      <c r="L874" s="1"/>
      <c r="M874" s="431"/>
      <c r="N874" s="1"/>
      <c r="O874" s="1"/>
      <c r="Q874" s="1"/>
      <c r="W874" s="310"/>
      <c r="X874" s="310"/>
      <c r="Y874" s="310"/>
    </row>
    <row r="875" spans="1:25" ht="18.75" customHeight="1" x14ac:dyDescent="0.2">
      <c r="A875" s="444"/>
      <c r="B875" s="1"/>
      <c r="C875" s="1"/>
      <c r="D875" s="1"/>
      <c r="E875" s="1"/>
      <c r="F875" s="1"/>
      <c r="G875" s="445"/>
      <c r="H875" s="1"/>
      <c r="I875" s="446"/>
      <c r="J875" s="1"/>
      <c r="K875" s="1"/>
      <c r="L875" s="1"/>
      <c r="M875" s="431"/>
      <c r="N875" s="1"/>
      <c r="O875" s="1"/>
      <c r="Q875" s="1"/>
      <c r="W875" s="310"/>
      <c r="X875" s="310"/>
      <c r="Y875" s="310"/>
    </row>
    <row r="876" spans="1:25" ht="18.75" customHeight="1" x14ac:dyDescent="0.2">
      <c r="A876" s="444"/>
      <c r="B876" s="1"/>
      <c r="C876" s="1"/>
      <c r="D876" s="1"/>
      <c r="E876" s="1"/>
      <c r="F876" s="1"/>
      <c r="G876" s="445"/>
      <c r="H876" s="1"/>
      <c r="I876" s="446"/>
      <c r="J876" s="1"/>
      <c r="K876" s="1"/>
      <c r="L876" s="1"/>
      <c r="M876" s="431"/>
      <c r="N876" s="1"/>
      <c r="O876" s="1"/>
      <c r="Q876" s="1"/>
      <c r="W876" s="310"/>
      <c r="X876" s="310"/>
      <c r="Y876" s="310"/>
    </row>
    <row r="877" spans="1:25" ht="18.75" customHeight="1" x14ac:dyDescent="0.2">
      <c r="A877" s="444"/>
      <c r="B877" s="1"/>
      <c r="C877" s="1"/>
      <c r="D877" s="1"/>
      <c r="E877" s="1"/>
      <c r="F877" s="1"/>
      <c r="G877" s="445"/>
      <c r="H877" s="1"/>
      <c r="I877" s="446"/>
      <c r="J877" s="1"/>
      <c r="K877" s="1"/>
      <c r="L877" s="1"/>
      <c r="M877" s="431"/>
      <c r="N877" s="1"/>
      <c r="O877" s="1"/>
      <c r="Q877" s="1"/>
      <c r="W877" s="310"/>
      <c r="X877" s="310"/>
      <c r="Y877" s="310"/>
    </row>
    <row r="878" spans="1:25" ht="18.75" customHeight="1" x14ac:dyDescent="0.2">
      <c r="A878" s="444"/>
      <c r="B878" s="1"/>
      <c r="C878" s="1"/>
      <c r="D878" s="1"/>
      <c r="E878" s="1"/>
      <c r="F878" s="1"/>
      <c r="G878" s="445"/>
      <c r="H878" s="1"/>
      <c r="I878" s="446"/>
      <c r="J878" s="1"/>
      <c r="K878" s="1"/>
      <c r="L878" s="1"/>
      <c r="M878" s="431"/>
      <c r="N878" s="1"/>
      <c r="O878" s="1"/>
      <c r="Q878" s="1"/>
      <c r="W878" s="310"/>
      <c r="X878" s="310"/>
      <c r="Y878" s="310"/>
    </row>
    <row r="879" spans="1:25" ht="18.75" customHeight="1" x14ac:dyDescent="0.2">
      <c r="A879" s="444"/>
      <c r="B879" s="1"/>
      <c r="C879" s="1"/>
      <c r="D879" s="1"/>
      <c r="E879" s="1"/>
      <c r="F879" s="1"/>
      <c r="G879" s="445"/>
      <c r="H879" s="1"/>
      <c r="I879" s="446"/>
      <c r="J879" s="1"/>
      <c r="K879" s="1"/>
      <c r="L879" s="1"/>
      <c r="M879" s="431"/>
      <c r="N879" s="1"/>
      <c r="O879" s="1"/>
      <c r="Q879" s="1"/>
      <c r="W879" s="310"/>
      <c r="X879" s="310"/>
      <c r="Y879" s="310"/>
    </row>
    <row r="880" spans="1:25" ht="18.75" customHeight="1" x14ac:dyDescent="0.2">
      <c r="A880" s="444"/>
      <c r="B880" s="1"/>
      <c r="C880" s="1"/>
      <c r="D880" s="1"/>
      <c r="E880" s="1"/>
      <c r="F880" s="1"/>
      <c r="G880" s="445"/>
      <c r="H880" s="1"/>
      <c r="I880" s="446"/>
      <c r="J880" s="1"/>
      <c r="K880" s="1"/>
      <c r="L880" s="1"/>
      <c r="M880" s="431"/>
      <c r="N880" s="1"/>
      <c r="O880" s="1"/>
      <c r="Q880" s="1"/>
      <c r="W880" s="310"/>
      <c r="X880" s="310"/>
      <c r="Y880" s="310"/>
    </row>
    <row r="881" spans="1:25" ht="18.75" customHeight="1" x14ac:dyDescent="0.2">
      <c r="A881" s="444"/>
      <c r="B881" s="1"/>
      <c r="C881" s="1"/>
      <c r="D881" s="1"/>
      <c r="E881" s="1"/>
      <c r="F881" s="1"/>
      <c r="G881" s="445"/>
      <c r="H881" s="1"/>
      <c r="I881" s="446"/>
      <c r="J881" s="1"/>
      <c r="K881" s="1"/>
      <c r="L881" s="1"/>
      <c r="M881" s="431"/>
      <c r="N881" s="1"/>
      <c r="O881" s="1"/>
      <c r="Q881" s="1"/>
      <c r="W881" s="310"/>
      <c r="X881" s="310"/>
      <c r="Y881" s="310"/>
    </row>
    <row r="882" spans="1:25" ht="18.75" customHeight="1" x14ac:dyDescent="0.2">
      <c r="A882" s="444"/>
      <c r="B882" s="1"/>
      <c r="C882" s="1"/>
      <c r="D882" s="1"/>
      <c r="E882" s="1"/>
      <c r="F882" s="1"/>
      <c r="G882" s="445"/>
      <c r="H882" s="1"/>
      <c r="I882" s="446"/>
      <c r="J882" s="1"/>
      <c r="K882" s="1"/>
      <c r="L882" s="1"/>
      <c r="M882" s="431"/>
      <c r="N882" s="1"/>
      <c r="O882" s="1"/>
      <c r="Q882" s="1"/>
      <c r="W882" s="310"/>
      <c r="X882" s="310"/>
      <c r="Y882" s="310"/>
    </row>
    <row r="883" spans="1:25" ht="18.75" customHeight="1" x14ac:dyDescent="0.2">
      <c r="A883" s="444"/>
      <c r="B883" s="1"/>
      <c r="C883" s="1"/>
      <c r="D883" s="1"/>
      <c r="E883" s="1"/>
      <c r="F883" s="1"/>
      <c r="G883" s="445"/>
      <c r="H883" s="1"/>
      <c r="I883" s="446"/>
      <c r="J883" s="1"/>
      <c r="K883" s="1"/>
      <c r="L883" s="1"/>
      <c r="M883" s="431"/>
      <c r="N883" s="1"/>
      <c r="O883" s="1"/>
      <c r="Q883" s="1"/>
      <c r="W883" s="310"/>
      <c r="X883" s="310"/>
      <c r="Y883" s="310"/>
    </row>
    <row r="884" spans="1:25" ht="18.75" customHeight="1" x14ac:dyDescent="0.2">
      <c r="A884" s="444"/>
      <c r="B884" s="1"/>
      <c r="C884" s="1"/>
      <c r="D884" s="1"/>
      <c r="E884" s="1"/>
      <c r="F884" s="1"/>
      <c r="G884" s="445"/>
      <c r="H884" s="1"/>
      <c r="I884" s="446"/>
      <c r="J884" s="1"/>
      <c r="K884" s="1"/>
      <c r="L884" s="1"/>
      <c r="M884" s="431"/>
      <c r="N884" s="1"/>
      <c r="O884" s="1"/>
      <c r="Q884" s="1"/>
      <c r="W884" s="310"/>
      <c r="X884" s="310"/>
      <c r="Y884" s="310"/>
    </row>
    <row r="885" spans="1:25" ht="18.75" customHeight="1" x14ac:dyDescent="0.2">
      <c r="A885" s="444"/>
      <c r="B885" s="1"/>
      <c r="C885" s="1"/>
      <c r="D885" s="1"/>
      <c r="E885" s="1"/>
      <c r="F885" s="1"/>
      <c r="G885" s="445"/>
      <c r="H885" s="1"/>
      <c r="I885" s="446"/>
      <c r="J885" s="1"/>
      <c r="K885" s="1"/>
      <c r="L885" s="1"/>
      <c r="M885" s="431"/>
      <c r="N885" s="1"/>
      <c r="O885" s="1"/>
      <c r="Q885" s="1"/>
      <c r="W885" s="310"/>
      <c r="X885" s="310"/>
      <c r="Y885" s="310"/>
    </row>
    <row r="886" spans="1:25" ht="18.75" customHeight="1" x14ac:dyDescent="0.2">
      <c r="A886" s="444"/>
      <c r="B886" s="1"/>
      <c r="C886" s="1"/>
      <c r="D886" s="1"/>
      <c r="E886" s="1"/>
      <c r="F886" s="1"/>
      <c r="G886" s="445"/>
      <c r="H886" s="1"/>
      <c r="I886" s="446"/>
      <c r="J886" s="1"/>
      <c r="K886" s="1"/>
      <c r="L886" s="1"/>
      <c r="M886" s="431"/>
      <c r="N886" s="1"/>
      <c r="O886" s="1"/>
      <c r="Q886" s="1"/>
      <c r="W886" s="310"/>
      <c r="X886" s="310"/>
      <c r="Y886" s="310"/>
    </row>
    <row r="887" spans="1:25" ht="18.75" customHeight="1" x14ac:dyDescent="0.2">
      <c r="A887" s="444"/>
      <c r="B887" s="1"/>
      <c r="C887" s="1"/>
      <c r="D887" s="1"/>
      <c r="E887" s="1"/>
      <c r="F887" s="1"/>
      <c r="G887" s="445"/>
      <c r="H887" s="1"/>
      <c r="I887" s="446"/>
      <c r="J887" s="1"/>
      <c r="K887" s="1"/>
      <c r="L887" s="1"/>
      <c r="M887" s="431"/>
      <c r="N887" s="1"/>
      <c r="O887" s="1"/>
      <c r="Q887" s="1"/>
      <c r="W887" s="310"/>
      <c r="X887" s="310"/>
      <c r="Y887" s="310"/>
    </row>
    <row r="888" spans="1:25" ht="18.75" customHeight="1" x14ac:dyDescent="0.2">
      <c r="A888" s="444"/>
      <c r="B888" s="1"/>
      <c r="C888" s="1"/>
      <c r="D888" s="1"/>
      <c r="E888" s="1"/>
      <c r="F888" s="1"/>
      <c r="G888" s="445"/>
      <c r="H888" s="1"/>
      <c r="I888" s="446"/>
      <c r="J888" s="1"/>
      <c r="K888" s="1"/>
      <c r="L888" s="1"/>
      <c r="M888" s="431"/>
      <c r="N888" s="1"/>
      <c r="O888" s="1"/>
      <c r="Q888" s="1"/>
      <c r="W888" s="310"/>
      <c r="X888" s="310"/>
      <c r="Y888" s="310"/>
    </row>
    <row r="889" spans="1:25" ht="18.75" customHeight="1" x14ac:dyDescent="0.2">
      <c r="A889" s="444"/>
      <c r="B889" s="1"/>
      <c r="C889" s="1"/>
      <c r="D889" s="1"/>
      <c r="E889" s="1"/>
      <c r="F889" s="1"/>
      <c r="G889" s="445"/>
      <c r="H889" s="1"/>
      <c r="I889" s="446"/>
      <c r="J889" s="1"/>
      <c r="K889" s="1"/>
      <c r="L889" s="1"/>
      <c r="M889" s="431"/>
      <c r="N889" s="1"/>
      <c r="O889" s="1"/>
      <c r="Q889" s="1"/>
      <c r="W889" s="310"/>
      <c r="X889" s="310"/>
      <c r="Y889" s="310"/>
    </row>
    <row r="890" spans="1:25" ht="18.75" customHeight="1" x14ac:dyDescent="0.2">
      <c r="A890" s="444"/>
      <c r="B890" s="1"/>
      <c r="C890" s="1"/>
      <c r="D890" s="1"/>
      <c r="E890" s="1"/>
      <c r="F890" s="1"/>
      <c r="G890" s="445"/>
      <c r="H890" s="1"/>
      <c r="I890" s="446"/>
      <c r="J890" s="1"/>
      <c r="K890" s="1"/>
      <c r="L890" s="1"/>
      <c r="M890" s="431"/>
      <c r="N890" s="1"/>
      <c r="O890" s="1"/>
      <c r="Q890" s="1"/>
      <c r="W890" s="310"/>
      <c r="X890" s="310"/>
      <c r="Y890" s="310"/>
    </row>
    <row r="891" spans="1:25" ht="18.75" customHeight="1" x14ac:dyDescent="0.2">
      <c r="A891" s="444"/>
      <c r="B891" s="1"/>
      <c r="C891" s="1"/>
      <c r="D891" s="1"/>
      <c r="E891" s="1"/>
      <c r="F891" s="1"/>
      <c r="G891" s="445"/>
      <c r="H891" s="1"/>
      <c r="I891" s="446"/>
      <c r="J891" s="1"/>
      <c r="K891" s="1"/>
      <c r="L891" s="1"/>
      <c r="M891" s="431"/>
      <c r="N891" s="1"/>
      <c r="O891" s="1"/>
      <c r="Q891" s="1"/>
      <c r="W891" s="310"/>
      <c r="X891" s="310"/>
      <c r="Y891" s="310"/>
    </row>
    <row r="892" spans="1:25" ht="18.75" customHeight="1" x14ac:dyDescent="0.2">
      <c r="A892" s="444"/>
      <c r="B892" s="1"/>
      <c r="C892" s="1"/>
      <c r="D892" s="1"/>
      <c r="E892" s="1"/>
      <c r="F892" s="1"/>
      <c r="G892" s="445"/>
      <c r="H892" s="1"/>
      <c r="I892" s="446"/>
      <c r="J892" s="1"/>
      <c r="K892" s="1"/>
      <c r="L892" s="1"/>
      <c r="M892" s="431"/>
      <c r="N892" s="1"/>
      <c r="O892" s="1"/>
      <c r="Q892" s="1"/>
      <c r="W892" s="310"/>
      <c r="X892" s="310"/>
      <c r="Y892" s="310"/>
    </row>
    <row r="893" spans="1:25" ht="18.75" customHeight="1" x14ac:dyDescent="0.2">
      <c r="A893" s="444"/>
      <c r="B893" s="1"/>
      <c r="C893" s="1"/>
      <c r="D893" s="1"/>
      <c r="E893" s="1"/>
      <c r="F893" s="1"/>
      <c r="G893" s="445"/>
      <c r="H893" s="1"/>
      <c r="I893" s="446"/>
      <c r="J893" s="1"/>
      <c r="K893" s="1"/>
      <c r="L893" s="1"/>
      <c r="M893" s="431"/>
      <c r="N893" s="1"/>
      <c r="O893" s="1"/>
      <c r="Q893" s="1"/>
      <c r="W893" s="310"/>
      <c r="X893" s="310"/>
      <c r="Y893" s="310"/>
    </row>
    <row r="894" spans="1:25" ht="18.75" customHeight="1" x14ac:dyDescent="0.2">
      <c r="A894" s="444"/>
      <c r="B894" s="1"/>
      <c r="C894" s="1"/>
      <c r="D894" s="1"/>
      <c r="E894" s="1"/>
      <c r="F894" s="1"/>
      <c r="G894" s="445"/>
      <c r="H894" s="1"/>
      <c r="I894" s="446"/>
      <c r="J894" s="1"/>
      <c r="K894" s="1"/>
      <c r="L894" s="1"/>
      <c r="M894" s="431"/>
      <c r="N894" s="1"/>
      <c r="O894" s="1"/>
      <c r="Q894" s="1"/>
      <c r="W894" s="310"/>
      <c r="X894" s="310"/>
      <c r="Y894" s="310"/>
    </row>
    <row r="895" spans="1:25" ht="18.75" customHeight="1" x14ac:dyDescent="0.2">
      <c r="A895" s="444"/>
      <c r="B895" s="1"/>
      <c r="C895" s="1"/>
      <c r="D895" s="1"/>
      <c r="E895" s="1"/>
      <c r="F895" s="1"/>
      <c r="G895" s="445"/>
      <c r="H895" s="1"/>
      <c r="I895" s="446"/>
      <c r="J895" s="1"/>
      <c r="K895" s="1"/>
      <c r="L895" s="1"/>
      <c r="M895" s="431"/>
      <c r="N895" s="1"/>
      <c r="O895" s="1"/>
      <c r="Q895" s="1"/>
      <c r="W895" s="310"/>
      <c r="X895" s="310"/>
      <c r="Y895" s="310"/>
    </row>
    <row r="896" spans="1:25" ht="18.75" customHeight="1" x14ac:dyDescent="0.2">
      <c r="A896" s="444"/>
      <c r="B896" s="1"/>
      <c r="C896" s="1"/>
      <c r="D896" s="1"/>
      <c r="E896" s="1"/>
      <c r="F896" s="1"/>
      <c r="G896" s="445"/>
      <c r="H896" s="1"/>
      <c r="I896" s="446"/>
      <c r="J896" s="1"/>
      <c r="K896" s="1"/>
      <c r="L896" s="1"/>
      <c r="M896" s="431"/>
      <c r="N896" s="1"/>
      <c r="O896" s="1"/>
      <c r="Q896" s="1"/>
      <c r="W896" s="310"/>
      <c r="X896" s="310"/>
      <c r="Y896" s="310"/>
    </row>
    <row r="897" spans="1:25" ht="18.75" customHeight="1" x14ac:dyDescent="0.2">
      <c r="A897" s="444"/>
      <c r="B897" s="1"/>
      <c r="C897" s="1"/>
      <c r="D897" s="1"/>
      <c r="E897" s="1"/>
      <c r="F897" s="1"/>
      <c r="G897" s="445"/>
      <c r="H897" s="1"/>
      <c r="I897" s="446"/>
      <c r="J897" s="1"/>
      <c r="K897" s="1"/>
      <c r="L897" s="1"/>
      <c r="M897" s="431"/>
      <c r="N897" s="1"/>
      <c r="O897" s="1"/>
      <c r="Q897" s="1"/>
      <c r="W897" s="310"/>
      <c r="X897" s="310"/>
      <c r="Y897" s="310"/>
    </row>
    <row r="898" spans="1:25" ht="18.75" customHeight="1" x14ac:dyDescent="0.2">
      <c r="A898" s="444"/>
      <c r="B898" s="1"/>
      <c r="C898" s="1"/>
      <c r="D898" s="1"/>
      <c r="E898" s="1"/>
      <c r="F898" s="1"/>
      <c r="G898" s="445"/>
      <c r="H898" s="1"/>
      <c r="I898" s="446"/>
      <c r="J898" s="1"/>
      <c r="K898" s="1"/>
      <c r="L898" s="1"/>
      <c r="M898" s="431"/>
      <c r="N898" s="1"/>
      <c r="O898" s="1"/>
      <c r="Q898" s="1"/>
      <c r="W898" s="310"/>
      <c r="X898" s="310"/>
      <c r="Y898" s="310"/>
    </row>
    <row r="899" spans="1:25" ht="18.75" customHeight="1" x14ac:dyDescent="0.2">
      <c r="A899" s="444"/>
      <c r="B899" s="1"/>
      <c r="C899" s="1"/>
      <c r="D899" s="1"/>
      <c r="E899" s="1"/>
      <c r="F899" s="1"/>
      <c r="G899" s="445"/>
      <c r="H899" s="1"/>
      <c r="I899" s="446"/>
      <c r="J899" s="1"/>
      <c r="K899" s="1"/>
      <c r="L899" s="1"/>
      <c r="M899" s="431"/>
      <c r="N899" s="1"/>
      <c r="O899" s="1"/>
      <c r="Q899" s="1"/>
      <c r="W899" s="310"/>
      <c r="X899" s="310"/>
      <c r="Y899" s="310"/>
    </row>
    <row r="900" spans="1:25" ht="18.75" customHeight="1" x14ac:dyDescent="0.2">
      <c r="A900" s="444"/>
      <c r="B900" s="1"/>
      <c r="C900" s="1"/>
      <c r="D900" s="1"/>
      <c r="E900" s="1"/>
      <c r="F900" s="1"/>
      <c r="G900" s="445"/>
      <c r="H900" s="1"/>
      <c r="I900" s="446"/>
      <c r="J900" s="1"/>
      <c r="K900" s="1"/>
      <c r="L900" s="1"/>
      <c r="M900" s="431"/>
      <c r="N900" s="1"/>
      <c r="O900" s="1"/>
      <c r="Q900" s="1"/>
      <c r="W900" s="310"/>
      <c r="X900" s="310"/>
      <c r="Y900" s="310"/>
    </row>
    <row r="901" spans="1:25" ht="18.75" customHeight="1" x14ac:dyDescent="0.2">
      <c r="A901" s="444"/>
      <c r="B901" s="1"/>
      <c r="C901" s="1"/>
      <c r="D901" s="1"/>
      <c r="E901" s="1"/>
      <c r="F901" s="1"/>
      <c r="G901" s="445"/>
      <c r="H901" s="1"/>
      <c r="I901" s="446"/>
      <c r="J901" s="1"/>
      <c r="K901" s="1"/>
      <c r="L901" s="1"/>
      <c r="M901" s="431"/>
      <c r="N901" s="1"/>
      <c r="O901" s="1"/>
      <c r="Q901" s="1"/>
      <c r="W901" s="310"/>
      <c r="X901" s="310"/>
      <c r="Y901" s="310"/>
    </row>
    <row r="902" spans="1:25" ht="18.75" customHeight="1" x14ac:dyDescent="0.2">
      <c r="A902" s="444"/>
      <c r="B902" s="1"/>
      <c r="C902" s="1"/>
      <c r="D902" s="1"/>
      <c r="E902" s="1"/>
      <c r="F902" s="1"/>
      <c r="G902" s="445"/>
      <c r="H902" s="1"/>
      <c r="I902" s="446"/>
      <c r="J902" s="1"/>
      <c r="K902" s="1"/>
      <c r="L902" s="1"/>
      <c r="M902" s="431"/>
      <c r="N902" s="1"/>
      <c r="O902" s="1"/>
      <c r="Q902" s="1"/>
      <c r="W902" s="310"/>
      <c r="X902" s="310"/>
      <c r="Y902" s="310"/>
    </row>
    <row r="903" spans="1:25" ht="18.75" customHeight="1" x14ac:dyDescent="0.2">
      <c r="A903" s="444"/>
      <c r="B903" s="1"/>
      <c r="C903" s="1"/>
      <c r="D903" s="1"/>
      <c r="E903" s="1"/>
      <c r="F903" s="1"/>
      <c r="G903" s="445"/>
      <c r="H903" s="1"/>
      <c r="I903" s="446"/>
      <c r="J903" s="1"/>
      <c r="K903" s="1"/>
      <c r="L903" s="1"/>
      <c r="M903" s="431"/>
      <c r="N903" s="1"/>
      <c r="O903" s="1"/>
      <c r="Q903" s="1"/>
      <c r="W903" s="310"/>
      <c r="X903" s="310"/>
      <c r="Y903" s="310"/>
    </row>
    <row r="904" spans="1:25" ht="18.75" customHeight="1" x14ac:dyDescent="0.2">
      <c r="A904" s="444"/>
      <c r="B904" s="1"/>
      <c r="C904" s="1"/>
      <c r="D904" s="1"/>
      <c r="E904" s="1"/>
      <c r="F904" s="1"/>
      <c r="G904" s="445"/>
      <c r="H904" s="1"/>
      <c r="I904" s="446"/>
      <c r="J904" s="1"/>
      <c r="K904" s="1"/>
      <c r="L904" s="1"/>
      <c r="M904" s="431"/>
      <c r="N904" s="1"/>
      <c r="O904" s="1"/>
      <c r="Q904" s="1"/>
      <c r="W904" s="310"/>
      <c r="X904" s="310"/>
      <c r="Y904" s="310"/>
    </row>
    <row r="905" spans="1:25" ht="18.75" customHeight="1" x14ac:dyDescent="0.2">
      <c r="A905" s="444"/>
      <c r="B905" s="1"/>
      <c r="C905" s="1"/>
      <c r="D905" s="1"/>
      <c r="E905" s="1"/>
      <c r="F905" s="1"/>
      <c r="G905" s="445"/>
      <c r="H905" s="1"/>
      <c r="I905" s="446"/>
      <c r="J905" s="1"/>
      <c r="K905" s="1"/>
      <c r="L905" s="1"/>
      <c r="M905" s="431"/>
      <c r="N905" s="1"/>
      <c r="O905" s="1"/>
      <c r="Q905" s="1"/>
      <c r="W905" s="310"/>
      <c r="X905" s="310"/>
      <c r="Y905" s="310"/>
    </row>
    <row r="906" spans="1:25" ht="18.75" customHeight="1" x14ac:dyDescent="0.2">
      <c r="A906" s="444"/>
      <c r="B906" s="1"/>
      <c r="C906" s="1"/>
      <c r="D906" s="1"/>
      <c r="E906" s="1"/>
      <c r="F906" s="1"/>
      <c r="G906" s="445"/>
      <c r="H906" s="1"/>
      <c r="I906" s="446"/>
      <c r="J906" s="1"/>
      <c r="K906" s="1"/>
      <c r="L906" s="1"/>
      <c r="M906" s="431"/>
      <c r="N906" s="1"/>
      <c r="O906" s="1"/>
      <c r="Q906" s="1"/>
      <c r="W906" s="310"/>
      <c r="X906" s="310"/>
      <c r="Y906" s="310"/>
    </row>
    <row r="907" spans="1:25" ht="18.75" customHeight="1" x14ac:dyDescent="0.2">
      <c r="A907" s="444"/>
      <c r="B907" s="1"/>
      <c r="C907" s="1"/>
      <c r="D907" s="1"/>
      <c r="E907" s="1"/>
      <c r="F907" s="1"/>
      <c r="G907" s="445"/>
      <c r="H907" s="1"/>
      <c r="I907" s="446"/>
      <c r="J907" s="1"/>
      <c r="K907" s="1"/>
      <c r="L907" s="1"/>
      <c r="M907" s="431"/>
      <c r="N907" s="1"/>
      <c r="O907" s="1"/>
      <c r="Q907" s="1"/>
      <c r="W907" s="310"/>
      <c r="X907" s="310"/>
      <c r="Y907" s="310"/>
    </row>
    <row r="908" spans="1:25" ht="18.75" customHeight="1" x14ac:dyDescent="0.2">
      <c r="A908" s="444"/>
      <c r="B908" s="1"/>
      <c r="C908" s="1"/>
      <c r="D908" s="1"/>
      <c r="E908" s="1"/>
      <c r="F908" s="1"/>
      <c r="G908" s="445"/>
      <c r="H908" s="1"/>
      <c r="I908" s="446"/>
      <c r="J908" s="1"/>
      <c r="K908" s="1"/>
      <c r="L908" s="1"/>
      <c r="M908" s="431"/>
      <c r="N908" s="1"/>
      <c r="O908" s="1"/>
      <c r="Q908" s="1"/>
      <c r="W908" s="310"/>
      <c r="X908" s="310"/>
      <c r="Y908" s="310"/>
    </row>
    <row r="909" spans="1:25" ht="18.75" customHeight="1" x14ac:dyDescent="0.2">
      <c r="A909" s="444"/>
      <c r="B909" s="1"/>
      <c r="C909" s="1"/>
      <c r="D909" s="1"/>
      <c r="E909" s="1"/>
      <c r="F909" s="1"/>
      <c r="G909" s="445"/>
      <c r="H909" s="1"/>
      <c r="I909" s="446"/>
      <c r="J909" s="1"/>
      <c r="K909" s="1"/>
      <c r="L909" s="1"/>
      <c r="M909" s="431"/>
      <c r="N909" s="1"/>
      <c r="O909" s="1"/>
      <c r="Q909" s="1"/>
      <c r="W909" s="310"/>
      <c r="X909" s="310"/>
      <c r="Y909" s="310"/>
    </row>
    <row r="910" spans="1:25" ht="18.75" customHeight="1" x14ac:dyDescent="0.2">
      <c r="A910" s="444"/>
      <c r="B910" s="1"/>
      <c r="C910" s="1"/>
      <c r="D910" s="1"/>
      <c r="E910" s="1"/>
      <c r="F910" s="1"/>
      <c r="G910" s="445"/>
      <c r="H910" s="1"/>
      <c r="I910" s="446"/>
      <c r="J910" s="1"/>
      <c r="K910" s="1"/>
      <c r="L910" s="1"/>
      <c r="M910" s="431"/>
      <c r="N910" s="1"/>
      <c r="O910" s="1"/>
      <c r="Q910" s="1"/>
      <c r="W910" s="310"/>
      <c r="X910" s="310"/>
      <c r="Y910" s="310"/>
    </row>
    <row r="911" spans="1:25" ht="18.75" customHeight="1" x14ac:dyDescent="0.2">
      <c r="A911" s="444"/>
      <c r="B911" s="1"/>
      <c r="C911" s="1"/>
      <c r="D911" s="1"/>
      <c r="E911" s="1"/>
      <c r="F911" s="1"/>
      <c r="G911" s="445"/>
      <c r="H911" s="1"/>
      <c r="I911" s="446"/>
      <c r="J911" s="1"/>
      <c r="K911" s="1"/>
      <c r="L911" s="1"/>
      <c r="M911" s="431"/>
      <c r="N911" s="1"/>
      <c r="O911" s="1"/>
      <c r="Q911" s="1"/>
      <c r="W911" s="310"/>
      <c r="X911" s="310"/>
      <c r="Y911" s="310"/>
    </row>
    <row r="912" spans="1:25" ht="18.75" customHeight="1" x14ac:dyDescent="0.2">
      <c r="A912" s="444"/>
      <c r="B912" s="1"/>
      <c r="C912" s="1"/>
      <c r="D912" s="1"/>
      <c r="E912" s="1"/>
      <c r="F912" s="1"/>
      <c r="G912" s="445"/>
      <c r="H912" s="1"/>
      <c r="I912" s="446"/>
      <c r="J912" s="1"/>
      <c r="K912" s="1"/>
      <c r="L912" s="1"/>
      <c r="M912" s="431"/>
      <c r="N912" s="1"/>
      <c r="O912" s="1"/>
      <c r="Q912" s="1"/>
      <c r="W912" s="310"/>
      <c r="X912" s="310"/>
      <c r="Y912" s="310"/>
    </row>
    <row r="913" spans="1:25" ht="18.75" customHeight="1" x14ac:dyDescent="0.2">
      <c r="A913" s="444"/>
      <c r="B913" s="1"/>
      <c r="C913" s="1"/>
      <c r="D913" s="1"/>
      <c r="E913" s="1"/>
      <c r="F913" s="1"/>
      <c r="G913" s="445"/>
      <c r="H913" s="1"/>
      <c r="I913" s="446"/>
      <c r="J913" s="1"/>
      <c r="K913" s="1"/>
      <c r="L913" s="1"/>
      <c r="M913" s="431"/>
      <c r="N913" s="1"/>
      <c r="O913" s="1"/>
      <c r="Q913" s="1"/>
      <c r="W913" s="310"/>
      <c r="X913" s="310"/>
      <c r="Y913" s="310"/>
    </row>
    <row r="914" spans="1:25" ht="18.75" customHeight="1" x14ac:dyDescent="0.2">
      <c r="A914" s="444"/>
      <c r="B914" s="1"/>
      <c r="C914" s="1"/>
      <c r="D914" s="1"/>
      <c r="E914" s="1"/>
      <c r="F914" s="1"/>
      <c r="G914" s="445"/>
      <c r="H914" s="1"/>
      <c r="I914" s="446"/>
      <c r="J914" s="1"/>
      <c r="K914" s="1"/>
      <c r="L914" s="1"/>
      <c r="M914" s="431"/>
      <c r="N914" s="1"/>
      <c r="O914" s="1"/>
      <c r="Q914" s="1"/>
      <c r="W914" s="310"/>
      <c r="X914" s="310"/>
      <c r="Y914" s="310"/>
    </row>
    <row r="915" spans="1:25" ht="18.75" customHeight="1" x14ac:dyDescent="0.2">
      <c r="A915" s="444"/>
      <c r="B915" s="1"/>
      <c r="C915" s="1"/>
      <c r="D915" s="1"/>
      <c r="E915" s="1"/>
      <c r="F915" s="1"/>
      <c r="G915" s="445"/>
      <c r="H915" s="1"/>
      <c r="I915" s="446"/>
      <c r="J915" s="1"/>
      <c r="K915" s="1"/>
      <c r="L915" s="1"/>
      <c r="M915" s="431"/>
      <c r="N915" s="1"/>
      <c r="O915" s="1"/>
      <c r="Q915" s="1"/>
      <c r="W915" s="310"/>
      <c r="X915" s="310"/>
      <c r="Y915" s="310"/>
    </row>
    <row r="916" spans="1:25" ht="18.75" customHeight="1" x14ac:dyDescent="0.2">
      <c r="A916" s="444"/>
      <c r="B916" s="1"/>
      <c r="C916" s="1"/>
      <c r="D916" s="1"/>
      <c r="E916" s="1"/>
      <c r="F916" s="1"/>
      <c r="G916" s="445"/>
      <c r="H916" s="1"/>
      <c r="I916" s="446"/>
      <c r="J916" s="1"/>
      <c r="K916" s="1"/>
      <c r="L916" s="1"/>
      <c r="M916" s="431"/>
      <c r="N916" s="1"/>
      <c r="O916" s="1"/>
      <c r="Q916" s="1"/>
      <c r="W916" s="310"/>
      <c r="X916" s="310"/>
      <c r="Y916" s="310"/>
    </row>
    <row r="917" spans="1:25" ht="18.75" customHeight="1" x14ac:dyDescent="0.2">
      <c r="A917" s="444"/>
      <c r="B917" s="1"/>
      <c r="C917" s="1"/>
      <c r="D917" s="1"/>
      <c r="E917" s="1"/>
      <c r="F917" s="1"/>
      <c r="G917" s="445"/>
      <c r="H917" s="1"/>
      <c r="I917" s="446"/>
      <c r="J917" s="1"/>
      <c r="K917" s="1"/>
      <c r="L917" s="1"/>
      <c r="M917" s="431"/>
      <c r="N917" s="1"/>
      <c r="O917" s="1"/>
      <c r="Q917" s="1"/>
      <c r="W917" s="310"/>
      <c r="X917" s="310"/>
      <c r="Y917" s="310"/>
    </row>
    <row r="918" spans="1:25" ht="18.75" customHeight="1" x14ac:dyDescent="0.2">
      <c r="A918" s="444"/>
      <c r="B918" s="1"/>
      <c r="C918" s="1"/>
      <c r="D918" s="1"/>
      <c r="E918" s="1"/>
      <c r="F918" s="1"/>
      <c r="G918" s="445"/>
      <c r="H918" s="1"/>
      <c r="I918" s="446"/>
      <c r="J918" s="1"/>
      <c r="K918" s="1"/>
      <c r="L918" s="1"/>
      <c r="M918" s="431"/>
      <c r="N918" s="1"/>
      <c r="O918" s="1"/>
      <c r="Q918" s="1"/>
      <c r="W918" s="310"/>
      <c r="X918" s="310"/>
      <c r="Y918" s="310"/>
    </row>
    <row r="919" spans="1:25" ht="18.75" customHeight="1" x14ac:dyDescent="0.2">
      <c r="A919" s="444"/>
      <c r="B919" s="1"/>
      <c r="C919" s="1"/>
      <c r="D919" s="1"/>
      <c r="E919" s="1"/>
      <c r="F919" s="1"/>
      <c r="G919" s="445"/>
      <c r="H919" s="1"/>
      <c r="I919" s="446"/>
      <c r="J919" s="1"/>
      <c r="K919" s="1"/>
      <c r="L919" s="1"/>
      <c r="M919" s="431"/>
      <c r="N919" s="1"/>
      <c r="O919" s="1"/>
      <c r="Q919" s="1"/>
      <c r="W919" s="310"/>
      <c r="X919" s="310"/>
      <c r="Y919" s="310"/>
    </row>
    <row r="920" spans="1:25" ht="18.75" customHeight="1" x14ac:dyDescent="0.2">
      <c r="A920" s="444"/>
      <c r="B920" s="1"/>
      <c r="C920" s="1"/>
      <c r="D920" s="1"/>
      <c r="E920" s="1"/>
      <c r="F920" s="1"/>
      <c r="G920" s="445"/>
      <c r="H920" s="1"/>
      <c r="I920" s="446"/>
      <c r="J920" s="1"/>
      <c r="K920" s="1"/>
      <c r="L920" s="1"/>
      <c r="M920" s="431"/>
      <c r="N920" s="1"/>
      <c r="O920" s="1"/>
      <c r="Q920" s="1"/>
      <c r="W920" s="310"/>
      <c r="X920" s="310"/>
      <c r="Y920" s="310"/>
    </row>
    <row r="921" spans="1:25" ht="18.75" customHeight="1" x14ac:dyDescent="0.2">
      <c r="A921" s="444"/>
      <c r="B921" s="1"/>
      <c r="C921" s="1"/>
      <c r="D921" s="1"/>
      <c r="E921" s="1"/>
      <c r="F921" s="1"/>
      <c r="G921" s="445"/>
      <c r="H921" s="1"/>
      <c r="I921" s="446"/>
      <c r="J921" s="1"/>
      <c r="K921" s="1"/>
      <c r="L921" s="1"/>
      <c r="M921" s="431"/>
      <c r="N921" s="1"/>
      <c r="O921" s="1"/>
      <c r="Q921" s="1"/>
      <c r="W921" s="310"/>
      <c r="X921" s="310"/>
      <c r="Y921" s="310"/>
    </row>
    <row r="922" spans="1:25" ht="18.75" customHeight="1" x14ac:dyDescent="0.2">
      <c r="A922" s="444"/>
      <c r="B922" s="1"/>
      <c r="C922" s="1"/>
      <c r="D922" s="1"/>
      <c r="E922" s="1"/>
      <c r="F922" s="1"/>
      <c r="G922" s="445"/>
      <c r="H922" s="1"/>
      <c r="I922" s="446"/>
      <c r="J922" s="1"/>
      <c r="K922" s="1"/>
      <c r="L922" s="1"/>
      <c r="M922" s="431"/>
      <c r="N922" s="1"/>
      <c r="O922" s="1"/>
      <c r="Q922" s="1"/>
      <c r="W922" s="310"/>
      <c r="X922" s="310"/>
      <c r="Y922" s="310"/>
    </row>
    <row r="923" spans="1:25" ht="18.75" customHeight="1" x14ac:dyDescent="0.2">
      <c r="A923" s="444"/>
      <c r="B923" s="1"/>
      <c r="C923" s="1"/>
      <c r="D923" s="1"/>
      <c r="E923" s="1"/>
      <c r="F923" s="1"/>
      <c r="G923" s="445"/>
      <c r="H923" s="1"/>
      <c r="I923" s="446"/>
      <c r="J923" s="1"/>
      <c r="K923" s="1"/>
      <c r="L923" s="1"/>
      <c r="M923" s="431"/>
      <c r="N923" s="1"/>
      <c r="O923" s="1"/>
      <c r="Q923" s="1"/>
      <c r="W923" s="310"/>
      <c r="X923" s="310"/>
      <c r="Y923" s="310"/>
    </row>
    <row r="924" spans="1:25" ht="18.75" customHeight="1" x14ac:dyDescent="0.2">
      <c r="A924" s="444"/>
      <c r="B924" s="1"/>
      <c r="C924" s="1"/>
      <c r="D924" s="1"/>
      <c r="E924" s="1"/>
      <c r="F924" s="1"/>
      <c r="G924" s="445"/>
      <c r="H924" s="1"/>
      <c r="I924" s="446"/>
      <c r="J924" s="1"/>
      <c r="K924" s="1"/>
      <c r="L924" s="1"/>
      <c r="M924" s="431"/>
      <c r="N924" s="1"/>
      <c r="O924" s="1"/>
      <c r="Q924" s="1"/>
      <c r="W924" s="310"/>
      <c r="X924" s="310"/>
      <c r="Y924" s="310"/>
    </row>
    <row r="925" spans="1:25" ht="18.75" customHeight="1" x14ac:dyDescent="0.2">
      <c r="A925" s="444"/>
      <c r="B925" s="1"/>
      <c r="C925" s="1"/>
      <c r="D925" s="1"/>
      <c r="E925" s="1"/>
      <c r="F925" s="1"/>
      <c r="G925" s="445"/>
      <c r="H925" s="1"/>
      <c r="I925" s="446"/>
      <c r="J925" s="1"/>
      <c r="K925" s="1"/>
      <c r="L925" s="1"/>
      <c r="M925" s="431"/>
      <c r="N925" s="1"/>
      <c r="O925" s="1"/>
      <c r="Q925" s="1"/>
      <c r="W925" s="310"/>
      <c r="X925" s="310"/>
      <c r="Y925" s="310"/>
    </row>
    <row r="926" spans="1:25" ht="18.75" customHeight="1" x14ac:dyDescent="0.2">
      <c r="A926" s="444"/>
      <c r="B926" s="1"/>
      <c r="C926" s="1"/>
      <c r="D926" s="1"/>
      <c r="E926" s="1"/>
      <c r="F926" s="1"/>
      <c r="G926" s="445"/>
      <c r="H926" s="1"/>
      <c r="I926" s="446"/>
      <c r="J926" s="1"/>
      <c r="K926" s="1"/>
      <c r="L926" s="1"/>
      <c r="M926" s="431"/>
      <c r="N926" s="1"/>
      <c r="O926" s="1"/>
      <c r="Q926" s="1"/>
      <c r="W926" s="310"/>
      <c r="X926" s="310"/>
      <c r="Y926" s="310"/>
    </row>
    <row r="927" spans="1:25" ht="18.75" customHeight="1" x14ac:dyDescent="0.2">
      <c r="A927" s="444"/>
      <c r="B927" s="1"/>
      <c r="C927" s="1"/>
      <c r="D927" s="1"/>
      <c r="E927" s="1"/>
      <c r="F927" s="1"/>
      <c r="G927" s="445"/>
      <c r="H927" s="1"/>
      <c r="I927" s="446"/>
      <c r="J927" s="1"/>
      <c r="K927" s="1"/>
      <c r="L927" s="1"/>
      <c r="M927" s="431"/>
      <c r="N927" s="1"/>
      <c r="O927" s="1"/>
      <c r="Q927" s="1"/>
      <c r="W927" s="310"/>
      <c r="X927" s="310"/>
      <c r="Y927" s="310"/>
    </row>
    <row r="928" spans="1:25" ht="18.75" customHeight="1" x14ac:dyDescent="0.2">
      <c r="A928" s="444"/>
      <c r="B928" s="1"/>
      <c r="C928" s="1"/>
      <c r="D928" s="1"/>
      <c r="E928" s="1"/>
      <c r="F928" s="1"/>
      <c r="G928" s="445"/>
      <c r="H928" s="1"/>
      <c r="I928" s="446"/>
      <c r="J928" s="1"/>
      <c r="K928" s="1"/>
      <c r="L928" s="1"/>
      <c r="M928" s="431"/>
      <c r="N928" s="1"/>
      <c r="O928" s="1"/>
      <c r="Q928" s="1"/>
      <c r="W928" s="310"/>
      <c r="X928" s="310"/>
      <c r="Y928" s="310"/>
    </row>
    <row r="929" spans="1:25" ht="18.75" customHeight="1" x14ac:dyDescent="0.2">
      <c r="A929" s="444"/>
      <c r="B929" s="1"/>
      <c r="C929" s="1"/>
      <c r="D929" s="1"/>
      <c r="E929" s="1"/>
      <c r="F929" s="1"/>
      <c r="G929" s="445"/>
      <c r="H929" s="1"/>
      <c r="I929" s="446"/>
      <c r="J929" s="1"/>
      <c r="K929" s="1"/>
      <c r="L929" s="1"/>
      <c r="M929" s="431"/>
      <c r="N929" s="1"/>
      <c r="O929" s="1"/>
      <c r="Q929" s="1"/>
      <c r="W929" s="310"/>
      <c r="X929" s="310"/>
      <c r="Y929" s="310"/>
    </row>
    <row r="930" spans="1:25" ht="18.75" customHeight="1" x14ac:dyDescent="0.2">
      <c r="A930" s="444"/>
      <c r="B930" s="1"/>
      <c r="C930" s="1"/>
      <c r="D930" s="1"/>
      <c r="E930" s="1"/>
      <c r="F930" s="1"/>
      <c r="G930" s="445"/>
      <c r="H930" s="1"/>
      <c r="I930" s="446"/>
      <c r="J930" s="1"/>
      <c r="K930" s="1"/>
      <c r="L930" s="1"/>
      <c r="M930" s="431"/>
      <c r="N930" s="1"/>
      <c r="O930" s="1"/>
      <c r="Q930" s="1"/>
      <c r="W930" s="310"/>
      <c r="X930" s="310"/>
      <c r="Y930" s="310"/>
    </row>
    <row r="931" spans="1:25" ht="18.75" customHeight="1" x14ac:dyDescent="0.2">
      <c r="A931" s="444"/>
      <c r="B931" s="1"/>
      <c r="C931" s="1"/>
      <c r="D931" s="1"/>
      <c r="E931" s="1"/>
      <c r="F931" s="1"/>
      <c r="G931" s="445"/>
      <c r="H931" s="1"/>
      <c r="I931" s="446"/>
      <c r="J931" s="1"/>
      <c r="K931" s="1"/>
      <c r="L931" s="1"/>
      <c r="M931" s="431"/>
      <c r="N931" s="1"/>
      <c r="O931" s="1"/>
      <c r="Q931" s="1"/>
      <c r="W931" s="310"/>
      <c r="X931" s="310"/>
      <c r="Y931" s="310"/>
    </row>
    <row r="932" spans="1:25" ht="18.75" customHeight="1" x14ac:dyDescent="0.2">
      <c r="A932" s="444"/>
      <c r="B932" s="1"/>
      <c r="C932" s="1"/>
      <c r="D932" s="1"/>
      <c r="E932" s="1"/>
      <c r="F932" s="1"/>
      <c r="G932" s="445"/>
      <c r="H932" s="1"/>
      <c r="I932" s="446"/>
      <c r="J932" s="1"/>
      <c r="K932" s="1"/>
      <c r="L932" s="1"/>
      <c r="M932" s="431"/>
      <c r="N932" s="1"/>
      <c r="O932" s="1"/>
      <c r="Q932" s="1"/>
      <c r="W932" s="310"/>
      <c r="X932" s="310"/>
      <c r="Y932" s="310"/>
    </row>
    <row r="933" spans="1:25" ht="18.75" customHeight="1" x14ac:dyDescent="0.2">
      <c r="A933" s="444"/>
      <c r="B933" s="1"/>
      <c r="C933" s="1"/>
      <c r="D933" s="1"/>
      <c r="E933" s="1"/>
      <c r="F933" s="1"/>
      <c r="G933" s="445"/>
      <c r="H933" s="1"/>
      <c r="I933" s="446"/>
      <c r="J933" s="1"/>
      <c r="K933" s="1"/>
      <c r="L933" s="1"/>
      <c r="M933" s="431"/>
      <c r="N933" s="1"/>
      <c r="O933" s="1"/>
      <c r="Q933" s="1"/>
      <c r="W933" s="310"/>
      <c r="X933" s="310"/>
      <c r="Y933" s="310"/>
    </row>
    <row r="934" spans="1:25" ht="18.75" customHeight="1" x14ac:dyDescent="0.2">
      <c r="A934" s="444"/>
      <c r="B934" s="1"/>
      <c r="C934" s="1"/>
      <c r="D934" s="1"/>
      <c r="E934" s="1"/>
      <c r="F934" s="1"/>
      <c r="G934" s="445"/>
      <c r="H934" s="1"/>
      <c r="I934" s="446"/>
      <c r="J934" s="1"/>
      <c r="K934" s="1"/>
      <c r="L934" s="1"/>
      <c r="M934" s="431"/>
      <c r="N934" s="1"/>
      <c r="O934" s="1"/>
      <c r="Q934" s="1"/>
      <c r="W934" s="310"/>
      <c r="X934" s="310"/>
      <c r="Y934" s="310"/>
    </row>
    <row r="935" spans="1:25" ht="18.75" customHeight="1" x14ac:dyDescent="0.2">
      <c r="A935" s="444"/>
      <c r="B935" s="1"/>
      <c r="C935" s="1"/>
      <c r="D935" s="1"/>
      <c r="E935" s="1"/>
      <c r="F935" s="1"/>
      <c r="G935" s="445"/>
      <c r="H935" s="1"/>
      <c r="I935" s="446"/>
      <c r="J935" s="1"/>
      <c r="K935" s="1"/>
      <c r="L935" s="1"/>
      <c r="M935" s="431"/>
      <c r="N935" s="1"/>
      <c r="O935" s="1"/>
      <c r="Q935" s="1"/>
      <c r="W935" s="310"/>
      <c r="X935" s="310"/>
      <c r="Y935" s="310"/>
    </row>
    <row r="936" spans="1:25" ht="18.75" customHeight="1" x14ac:dyDescent="0.2">
      <c r="A936" s="444"/>
      <c r="B936" s="1"/>
      <c r="C936" s="1"/>
      <c r="D936" s="1"/>
      <c r="E936" s="1"/>
      <c r="F936" s="1"/>
      <c r="G936" s="445"/>
      <c r="H936" s="1"/>
      <c r="I936" s="446"/>
      <c r="J936" s="1"/>
      <c r="K936" s="1"/>
      <c r="L936" s="1"/>
      <c r="M936" s="431"/>
      <c r="N936" s="1"/>
      <c r="O936" s="1"/>
      <c r="Q936" s="1"/>
      <c r="W936" s="310"/>
      <c r="X936" s="310"/>
      <c r="Y936" s="310"/>
    </row>
    <row r="937" spans="1:25" ht="18.75" customHeight="1" x14ac:dyDescent="0.2">
      <c r="A937" s="444"/>
      <c r="B937" s="1"/>
      <c r="C937" s="1"/>
      <c r="D937" s="1"/>
      <c r="E937" s="1"/>
      <c r="F937" s="1"/>
      <c r="G937" s="445"/>
      <c r="H937" s="1"/>
      <c r="I937" s="446"/>
      <c r="J937" s="1"/>
      <c r="K937" s="1"/>
      <c r="L937" s="1"/>
      <c r="M937" s="431"/>
      <c r="N937" s="1"/>
      <c r="O937" s="1"/>
      <c r="Q937" s="1"/>
      <c r="W937" s="310"/>
      <c r="X937" s="310"/>
      <c r="Y937" s="310"/>
    </row>
    <row r="938" spans="1:25" ht="18.75" customHeight="1" x14ac:dyDescent="0.2">
      <c r="A938" s="444"/>
      <c r="B938" s="1"/>
      <c r="C938" s="1"/>
      <c r="D938" s="1"/>
      <c r="E938" s="1"/>
      <c r="F938" s="1"/>
      <c r="G938" s="445"/>
      <c r="H938" s="1"/>
      <c r="I938" s="446"/>
      <c r="J938" s="1"/>
      <c r="K938" s="1"/>
      <c r="L938" s="1"/>
      <c r="M938" s="431"/>
      <c r="N938" s="1"/>
      <c r="O938" s="1"/>
      <c r="Q938" s="1"/>
      <c r="W938" s="310"/>
      <c r="X938" s="310"/>
      <c r="Y938" s="310"/>
    </row>
    <row r="939" spans="1:25" ht="18.75" customHeight="1" x14ac:dyDescent="0.2">
      <c r="A939" s="444"/>
      <c r="B939" s="1"/>
      <c r="C939" s="1"/>
      <c r="D939" s="1"/>
      <c r="E939" s="1"/>
      <c r="F939" s="1"/>
      <c r="G939" s="445"/>
      <c r="H939" s="1"/>
      <c r="I939" s="446"/>
      <c r="J939" s="1"/>
      <c r="K939" s="1"/>
      <c r="L939" s="1"/>
      <c r="M939" s="431"/>
      <c r="N939" s="1"/>
      <c r="O939" s="1"/>
      <c r="Q939" s="1"/>
      <c r="W939" s="310"/>
      <c r="X939" s="310"/>
      <c r="Y939" s="310"/>
    </row>
    <row r="940" spans="1:25" ht="18.75" customHeight="1" x14ac:dyDescent="0.2">
      <c r="A940" s="444"/>
      <c r="B940" s="1"/>
      <c r="C940" s="1"/>
      <c r="D940" s="1"/>
      <c r="E940" s="1"/>
      <c r="F940" s="1"/>
      <c r="G940" s="445"/>
      <c r="H940" s="1"/>
      <c r="I940" s="446"/>
      <c r="J940" s="1"/>
      <c r="K940" s="1"/>
      <c r="L940" s="1"/>
      <c r="M940" s="431"/>
      <c r="N940" s="1"/>
      <c r="O940" s="1"/>
      <c r="Q940" s="1"/>
      <c r="W940" s="310"/>
      <c r="X940" s="310"/>
      <c r="Y940" s="310"/>
    </row>
    <row r="941" spans="1:25" ht="18.75" customHeight="1" x14ac:dyDescent="0.2">
      <c r="A941" s="444"/>
      <c r="B941" s="1"/>
      <c r="C941" s="1"/>
      <c r="D941" s="1"/>
      <c r="E941" s="1"/>
      <c r="F941" s="1"/>
      <c r="G941" s="445"/>
      <c r="H941" s="1"/>
      <c r="I941" s="446"/>
      <c r="J941" s="1"/>
      <c r="K941" s="1"/>
      <c r="L941" s="1"/>
      <c r="M941" s="431"/>
      <c r="N941" s="1"/>
      <c r="O941" s="1"/>
      <c r="Q941" s="1"/>
      <c r="W941" s="310"/>
      <c r="X941" s="310"/>
      <c r="Y941" s="310"/>
    </row>
    <row r="942" spans="1:25" ht="18.75" customHeight="1" x14ac:dyDescent="0.2">
      <c r="A942" s="444"/>
      <c r="B942" s="1"/>
      <c r="C942" s="1"/>
      <c r="D942" s="1"/>
      <c r="E942" s="1"/>
      <c r="F942" s="1"/>
      <c r="G942" s="445"/>
      <c r="H942" s="1"/>
      <c r="I942" s="446"/>
      <c r="J942" s="1"/>
      <c r="K942" s="1"/>
      <c r="L942" s="1"/>
      <c r="M942" s="431"/>
      <c r="N942" s="1"/>
      <c r="O942" s="1"/>
      <c r="Q942" s="1"/>
      <c r="W942" s="310"/>
      <c r="X942" s="310"/>
      <c r="Y942" s="310"/>
    </row>
    <row r="943" spans="1:25" ht="18.75" customHeight="1" x14ac:dyDescent="0.2">
      <c r="A943" s="444"/>
      <c r="B943" s="1"/>
      <c r="C943" s="1"/>
      <c r="D943" s="1"/>
      <c r="E943" s="1"/>
      <c r="F943" s="1"/>
      <c r="G943" s="445"/>
      <c r="H943" s="1"/>
      <c r="I943" s="446"/>
      <c r="J943" s="1"/>
      <c r="K943" s="1"/>
      <c r="L943" s="1"/>
      <c r="M943" s="431"/>
      <c r="N943" s="1"/>
      <c r="O943" s="1"/>
      <c r="Q943" s="1"/>
      <c r="W943" s="310"/>
      <c r="X943" s="310"/>
      <c r="Y943" s="310"/>
    </row>
    <row r="944" spans="1:25" ht="18.75" customHeight="1" x14ac:dyDescent="0.2">
      <c r="A944" s="444"/>
      <c r="B944" s="1"/>
      <c r="C944" s="1"/>
      <c r="D944" s="1"/>
      <c r="E944" s="1"/>
      <c r="F944" s="1"/>
      <c r="G944" s="445"/>
      <c r="H944" s="1"/>
      <c r="I944" s="446"/>
      <c r="J944" s="1"/>
      <c r="K944" s="1"/>
      <c r="L944" s="1"/>
      <c r="M944" s="431"/>
      <c r="N944" s="1"/>
      <c r="O944" s="1"/>
      <c r="Q944" s="1"/>
      <c r="W944" s="310"/>
      <c r="X944" s="310"/>
      <c r="Y944" s="310"/>
    </row>
    <row r="945" spans="1:25" ht="18.75" customHeight="1" x14ac:dyDescent="0.2">
      <c r="A945" s="444"/>
      <c r="B945" s="1"/>
      <c r="C945" s="1"/>
      <c r="D945" s="1"/>
      <c r="E945" s="1"/>
      <c r="F945" s="1"/>
      <c r="G945" s="445"/>
      <c r="H945" s="1"/>
      <c r="I945" s="446"/>
      <c r="J945" s="1"/>
      <c r="K945" s="1"/>
      <c r="L945" s="1"/>
      <c r="M945" s="431"/>
      <c r="N945" s="1"/>
      <c r="O945" s="1"/>
      <c r="Q945" s="1"/>
      <c r="W945" s="310"/>
      <c r="X945" s="310"/>
      <c r="Y945" s="310"/>
    </row>
    <row r="946" spans="1:25" ht="18.75" customHeight="1" x14ac:dyDescent="0.2">
      <c r="A946" s="444"/>
      <c r="B946" s="1"/>
      <c r="C946" s="1"/>
      <c r="D946" s="1"/>
      <c r="E946" s="1"/>
      <c r="F946" s="1"/>
      <c r="G946" s="445"/>
      <c r="H946" s="1"/>
      <c r="I946" s="446"/>
      <c r="J946" s="1"/>
      <c r="K946" s="1"/>
      <c r="L946" s="1"/>
      <c r="M946" s="431"/>
      <c r="N946" s="1"/>
      <c r="O946" s="1"/>
      <c r="Q946" s="1"/>
      <c r="W946" s="310"/>
      <c r="X946" s="310"/>
      <c r="Y946" s="310"/>
    </row>
    <row r="947" spans="1:25" ht="18.75" customHeight="1" x14ac:dyDescent="0.2">
      <c r="A947" s="444"/>
      <c r="B947" s="1"/>
      <c r="C947" s="1"/>
      <c r="D947" s="1"/>
      <c r="E947" s="1"/>
      <c r="F947" s="1"/>
      <c r="G947" s="445"/>
      <c r="H947" s="1"/>
      <c r="I947" s="446"/>
      <c r="J947" s="1"/>
      <c r="K947" s="1"/>
      <c r="L947" s="1"/>
      <c r="M947" s="431"/>
      <c r="N947" s="1"/>
      <c r="O947" s="1"/>
      <c r="Q947" s="1"/>
      <c r="W947" s="310"/>
      <c r="X947" s="310"/>
      <c r="Y947" s="310"/>
    </row>
    <row r="948" spans="1:25" ht="18.75" customHeight="1" x14ac:dyDescent="0.2">
      <c r="A948" s="444"/>
      <c r="B948" s="1"/>
      <c r="C948" s="1"/>
      <c r="D948" s="1"/>
      <c r="E948" s="1"/>
      <c r="F948" s="1"/>
      <c r="G948" s="445"/>
      <c r="H948" s="1"/>
      <c r="I948" s="446"/>
      <c r="J948" s="1"/>
      <c r="K948" s="1"/>
      <c r="L948" s="1"/>
      <c r="M948" s="431"/>
      <c r="N948" s="1"/>
      <c r="O948" s="1"/>
      <c r="Q948" s="1"/>
      <c r="W948" s="310"/>
      <c r="X948" s="310"/>
      <c r="Y948" s="310"/>
    </row>
    <row r="949" spans="1:25" ht="18.75" customHeight="1" x14ac:dyDescent="0.2">
      <c r="A949" s="444"/>
      <c r="B949" s="1"/>
      <c r="C949" s="1"/>
      <c r="D949" s="1"/>
      <c r="E949" s="1"/>
      <c r="F949" s="1"/>
      <c r="G949" s="445"/>
      <c r="H949" s="1"/>
      <c r="I949" s="446"/>
      <c r="J949" s="1"/>
      <c r="K949" s="1"/>
      <c r="L949" s="1"/>
      <c r="M949" s="431"/>
      <c r="N949" s="1"/>
      <c r="O949" s="1"/>
      <c r="Q949" s="1"/>
      <c r="W949" s="310"/>
      <c r="X949" s="310"/>
      <c r="Y949" s="310"/>
    </row>
    <row r="950" spans="1:25" ht="18.75" customHeight="1" x14ac:dyDescent="0.2">
      <c r="A950" s="444"/>
      <c r="B950" s="1"/>
      <c r="C950" s="1"/>
      <c r="D950" s="1"/>
      <c r="E950" s="1"/>
      <c r="F950" s="1"/>
      <c r="G950" s="445"/>
      <c r="H950" s="1"/>
      <c r="I950" s="446"/>
      <c r="J950" s="1"/>
      <c r="K950" s="1"/>
      <c r="L950" s="1"/>
      <c r="M950" s="431"/>
      <c r="N950" s="1"/>
      <c r="O950" s="1"/>
      <c r="Q950" s="1"/>
      <c r="W950" s="310"/>
      <c r="X950" s="310"/>
      <c r="Y950" s="310"/>
    </row>
    <row r="951" spans="1:25" ht="18.75" customHeight="1" x14ac:dyDescent="0.2">
      <c r="A951" s="444"/>
      <c r="B951" s="1"/>
      <c r="C951" s="1"/>
      <c r="D951" s="1"/>
      <c r="E951" s="1"/>
      <c r="F951" s="1"/>
      <c r="G951" s="445"/>
      <c r="H951" s="1"/>
      <c r="I951" s="446"/>
      <c r="J951" s="1"/>
      <c r="K951" s="1"/>
      <c r="L951" s="1"/>
      <c r="M951" s="431"/>
      <c r="N951" s="1"/>
      <c r="O951" s="1"/>
      <c r="Q951" s="1"/>
      <c r="W951" s="310"/>
      <c r="X951" s="310"/>
      <c r="Y951" s="310"/>
    </row>
    <row r="952" spans="1:25" ht="18.75" customHeight="1" x14ac:dyDescent="0.2">
      <c r="A952" s="444"/>
      <c r="B952" s="1"/>
      <c r="C952" s="1"/>
      <c r="D952" s="1"/>
      <c r="E952" s="1"/>
      <c r="F952" s="1"/>
      <c r="G952" s="445"/>
      <c r="H952" s="1"/>
      <c r="I952" s="446"/>
      <c r="J952" s="1"/>
      <c r="K952" s="1"/>
      <c r="L952" s="1"/>
      <c r="M952" s="431"/>
      <c r="N952" s="1"/>
      <c r="O952" s="1"/>
      <c r="Q952" s="1"/>
      <c r="W952" s="310"/>
      <c r="X952" s="310"/>
      <c r="Y952" s="310"/>
    </row>
    <row r="953" spans="1:25" ht="18.75" customHeight="1" x14ac:dyDescent="0.2">
      <c r="A953" s="444"/>
      <c r="B953" s="1"/>
      <c r="C953" s="1"/>
      <c r="D953" s="1"/>
      <c r="E953" s="1"/>
      <c r="F953" s="1"/>
      <c r="G953" s="445"/>
      <c r="H953" s="1"/>
      <c r="I953" s="446"/>
      <c r="J953" s="1"/>
      <c r="K953" s="1"/>
      <c r="L953" s="1"/>
      <c r="M953" s="431"/>
      <c r="N953" s="1"/>
      <c r="O953" s="1"/>
      <c r="Q953" s="1"/>
      <c r="W953" s="310"/>
      <c r="X953" s="310"/>
      <c r="Y953" s="310"/>
    </row>
    <row r="954" spans="1:25" ht="18.75" customHeight="1" x14ac:dyDescent="0.2">
      <c r="A954" s="444"/>
      <c r="B954" s="1"/>
      <c r="C954" s="1"/>
      <c r="D954" s="1"/>
      <c r="E954" s="1"/>
      <c r="F954" s="1"/>
      <c r="G954" s="445"/>
      <c r="H954" s="1"/>
      <c r="I954" s="446"/>
      <c r="J954" s="1"/>
      <c r="K954" s="1"/>
      <c r="L954" s="1"/>
      <c r="M954" s="431"/>
      <c r="N954" s="1"/>
      <c r="O954" s="1"/>
      <c r="Q954" s="1"/>
      <c r="W954" s="310"/>
      <c r="X954" s="310"/>
      <c r="Y954" s="310"/>
    </row>
    <row r="955" spans="1:25" ht="18.75" customHeight="1" x14ac:dyDescent="0.2">
      <c r="A955" s="444"/>
      <c r="B955" s="1"/>
      <c r="C955" s="1"/>
      <c r="D955" s="1"/>
      <c r="E955" s="1"/>
      <c r="F955" s="1"/>
      <c r="G955" s="445"/>
      <c r="H955" s="1"/>
      <c r="I955" s="446"/>
      <c r="J955" s="1"/>
      <c r="K955" s="1"/>
      <c r="L955" s="1"/>
      <c r="M955" s="431"/>
      <c r="N955" s="1"/>
      <c r="O955" s="1"/>
      <c r="Q955" s="1"/>
      <c r="W955" s="310"/>
      <c r="X955" s="310"/>
      <c r="Y955" s="310"/>
    </row>
    <row r="956" spans="1:25" ht="18.75" customHeight="1" x14ac:dyDescent="0.2">
      <c r="A956" s="444"/>
      <c r="B956" s="1"/>
      <c r="C956" s="1"/>
      <c r="D956" s="1"/>
      <c r="E956" s="1"/>
      <c r="F956" s="1"/>
      <c r="G956" s="445"/>
      <c r="H956" s="1"/>
      <c r="I956" s="446"/>
      <c r="J956" s="1"/>
      <c r="K956" s="1"/>
      <c r="L956" s="1"/>
      <c r="M956" s="431"/>
      <c r="N956" s="1"/>
      <c r="O956" s="1"/>
      <c r="Q956" s="1"/>
      <c r="W956" s="310"/>
      <c r="X956" s="310"/>
      <c r="Y956" s="310"/>
    </row>
    <row r="957" spans="1:25" ht="18.75" customHeight="1" x14ac:dyDescent="0.2">
      <c r="A957" s="444"/>
      <c r="B957" s="1"/>
      <c r="C957" s="1"/>
      <c r="D957" s="1"/>
      <c r="E957" s="1"/>
      <c r="F957" s="1"/>
      <c r="G957" s="445"/>
      <c r="H957" s="1"/>
      <c r="I957" s="446"/>
      <c r="J957" s="1"/>
      <c r="K957" s="1"/>
      <c r="L957" s="1"/>
      <c r="M957" s="431"/>
      <c r="N957" s="1"/>
      <c r="O957" s="1"/>
      <c r="Q957" s="1"/>
      <c r="W957" s="310"/>
      <c r="X957" s="310"/>
      <c r="Y957" s="310"/>
    </row>
    <row r="958" spans="1:25" ht="18.75" customHeight="1" x14ac:dyDescent="0.2">
      <c r="A958" s="444"/>
      <c r="B958" s="1"/>
      <c r="C958" s="1"/>
      <c r="D958" s="1"/>
      <c r="E958" s="1"/>
      <c r="F958" s="1"/>
      <c r="G958" s="445"/>
      <c r="H958" s="1"/>
      <c r="I958" s="446"/>
      <c r="J958" s="1"/>
      <c r="K958" s="1"/>
      <c r="L958" s="1"/>
      <c r="M958" s="431"/>
      <c r="N958" s="1"/>
      <c r="O958" s="1"/>
      <c r="Q958" s="1"/>
      <c r="W958" s="310"/>
      <c r="X958" s="310"/>
      <c r="Y958" s="310"/>
    </row>
    <row r="959" spans="1:25" ht="18.75" customHeight="1" x14ac:dyDescent="0.2">
      <c r="A959" s="444"/>
      <c r="B959" s="1"/>
      <c r="C959" s="1"/>
      <c r="D959" s="1"/>
      <c r="E959" s="1"/>
      <c r="F959" s="1"/>
      <c r="G959" s="445"/>
      <c r="H959" s="1"/>
      <c r="I959" s="446"/>
      <c r="J959" s="1"/>
      <c r="K959" s="1"/>
      <c r="L959" s="1"/>
      <c r="M959" s="431"/>
      <c r="N959" s="1"/>
      <c r="O959" s="1"/>
      <c r="Q959" s="1"/>
      <c r="W959" s="310"/>
      <c r="X959" s="310"/>
      <c r="Y959" s="310"/>
    </row>
    <row r="960" spans="1:25" ht="18.75" customHeight="1" x14ac:dyDescent="0.2">
      <c r="A960" s="444"/>
      <c r="B960" s="1"/>
      <c r="C960" s="1"/>
      <c r="D960" s="1"/>
      <c r="E960" s="1"/>
      <c r="F960" s="1"/>
      <c r="G960" s="445"/>
      <c r="H960" s="1"/>
      <c r="I960" s="446"/>
      <c r="J960" s="1"/>
      <c r="K960" s="1"/>
      <c r="L960" s="1"/>
      <c r="M960" s="431"/>
      <c r="N960" s="1"/>
      <c r="O960" s="1"/>
      <c r="Q960" s="1"/>
      <c r="W960" s="310"/>
      <c r="X960" s="310"/>
      <c r="Y960" s="310"/>
    </row>
    <row r="961" spans="1:25" ht="18.75" customHeight="1" x14ac:dyDescent="0.2">
      <c r="A961" s="444"/>
      <c r="B961" s="1"/>
      <c r="C961" s="1"/>
      <c r="D961" s="1"/>
      <c r="E961" s="1"/>
      <c r="F961" s="1"/>
      <c r="G961" s="445"/>
      <c r="H961" s="1"/>
      <c r="I961" s="446"/>
      <c r="J961" s="1"/>
      <c r="K961" s="1"/>
      <c r="L961" s="1"/>
      <c r="M961" s="431"/>
      <c r="N961" s="1"/>
      <c r="O961" s="1"/>
      <c r="Q961" s="1"/>
      <c r="W961" s="310"/>
      <c r="X961" s="310"/>
      <c r="Y961" s="310"/>
    </row>
    <row r="962" spans="1:25" ht="18.75" customHeight="1" x14ac:dyDescent="0.2">
      <c r="A962" s="444"/>
      <c r="B962" s="1"/>
      <c r="C962" s="1"/>
      <c r="D962" s="1"/>
      <c r="E962" s="1"/>
      <c r="F962" s="1"/>
      <c r="G962" s="445"/>
      <c r="H962" s="1"/>
      <c r="I962" s="446"/>
      <c r="J962" s="1"/>
      <c r="K962" s="1"/>
      <c r="L962" s="1"/>
      <c r="M962" s="431"/>
      <c r="N962" s="1"/>
      <c r="O962" s="1"/>
      <c r="Q962" s="1"/>
      <c r="W962" s="310"/>
      <c r="X962" s="310"/>
      <c r="Y962" s="310"/>
    </row>
    <row r="963" spans="1:25" ht="18.75" customHeight="1" x14ac:dyDescent="0.2">
      <c r="A963" s="444"/>
      <c r="B963" s="1"/>
      <c r="C963" s="1"/>
      <c r="D963" s="1"/>
      <c r="E963" s="1"/>
      <c r="F963" s="1"/>
      <c r="G963" s="445"/>
      <c r="H963" s="1"/>
      <c r="I963" s="446"/>
      <c r="J963" s="1"/>
      <c r="K963" s="1"/>
      <c r="L963" s="1"/>
      <c r="M963" s="431"/>
      <c r="N963" s="1"/>
      <c r="O963" s="1"/>
      <c r="Q963" s="1"/>
      <c r="W963" s="310"/>
      <c r="X963" s="310"/>
      <c r="Y963" s="310"/>
    </row>
    <row r="964" spans="1:25" ht="18.75" customHeight="1" x14ac:dyDescent="0.2">
      <c r="A964" s="444"/>
      <c r="B964" s="1"/>
      <c r="C964" s="1"/>
      <c r="D964" s="1"/>
      <c r="E964" s="1"/>
      <c r="F964" s="1"/>
      <c r="G964" s="445"/>
      <c r="H964" s="1"/>
      <c r="I964" s="446"/>
      <c r="J964" s="1"/>
      <c r="K964" s="1"/>
      <c r="L964" s="1"/>
      <c r="M964" s="431"/>
      <c r="N964" s="1"/>
      <c r="O964" s="1"/>
      <c r="Q964" s="1"/>
      <c r="W964" s="310"/>
      <c r="X964" s="310"/>
      <c r="Y964" s="310"/>
    </row>
    <row r="965" spans="1:25" ht="18.75" customHeight="1" x14ac:dyDescent="0.2">
      <c r="A965" s="444"/>
      <c r="B965" s="1"/>
      <c r="C965" s="1"/>
      <c r="D965" s="1"/>
      <c r="E965" s="1"/>
      <c r="F965" s="1"/>
      <c r="G965" s="445"/>
      <c r="H965" s="1"/>
      <c r="I965" s="446"/>
      <c r="J965" s="1"/>
      <c r="K965" s="1"/>
      <c r="L965" s="1"/>
      <c r="M965" s="431"/>
      <c r="N965" s="1"/>
      <c r="O965" s="1"/>
      <c r="Q965" s="1"/>
      <c r="W965" s="310"/>
      <c r="X965" s="310"/>
      <c r="Y965" s="310"/>
    </row>
    <row r="966" spans="1:25" ht="18.75" customHeight="1" x14ac:dyDescent="0.2">
      <c r="A966" s="444"/>
      <c r="B966" s="1"/>
      <c r="C966" s="1"/>
      <c r="D966" s="1"/>
      <c r="E966" s="1"/>
      <c r="F966" s="1"/>
      <c r="G966" s="445"/>
      <c r="H966" s="1"/>
      <c r="I966" s="446"/>
      <c r="J966" s="1"/>
      <c r="K966" s="1"/>
      <c r="L966" s="1"/>
      <c r="M966" s="431"/>
      <c r="N966" s="1"/>
      <c r="O966" s="1"/>
      <c r="Q966" s="1"/>
      <c r="W966" s="310"/>
      <c r="X966" s="310"/>
      <c r="Y966" s="310"/>
    </row>
    <row r="967" spans="1:25" ht="18.75" customHeight="1" x14ac:dyDescent="0.2">
      <c r="A967" s="444"/>
      <c r="B967" s="1"/>
      <c r="C967" s="1"/>
      <c r="D967" s="1"/>
      <c r="E967" s="1"/>
      <c r="F967" s="1"/>
      <c r="G967" s="445"/>
      <c r="H967" s="1"/>
      <c r="I967" s="446"/>
      <c r="J967" s="1"/>
      <c r="K967" s="1"/>
      <c r="L967" s="1"/>
      <c r="M967" s="431"/>
      <c r="N967" s="1"/>
      <c r="O967" s="1"/>
      <c r="Q967" s="1"/>
      <c r="W967" s="310"/>
      <c r="X967" s="310"/>
      <c r="Y967" s="310"/>
    </row>
    <row r="968" spans="1:25" ht="18.75" customHeight="1" x14ac:dyDescent="0.2">
      <c r="A968" s="444"/>
      <c r="B968" s="1"/>
      <c r="C968" s="1"/>
      <c r="D968" s="1"/>
      <c r="E968" s="1"/>
      <c r="F968" s="1"/>
      <c r="G968" s="445"/>
      <c r="H968" s="1"/>
      <c r="I968" s="446"/>
      <c r="J968" s="1"/>
      <c r="K968" s="1"/>
      <c r="L968" s="1"/>
      <c r="M968" s="431"/>
      <c r="N968" s="1"/>
      <c r="O968" s="1"/>
      <c r="Q968" s="1"/>
      <c r="W968" s="310"/>
      <c r="X968" s="310"/>
      <c r="Y968" s="310"/>
    </row>
    <row r="969" spans="1:25" ht="18.75" customHeight="1" x14ac:dyDescent="0.2">
      <c r="A969" s="444"/>
      <c r="B969" s="1"/>
      <c r="C969" s="1"/>
      <c r="D969" s="1"/>
      <c r="E969" s="1"/>
      <c r="F969" s="1"/>
      <c r="G969" s="445"/>
      <c r="H969" s="1"/>
      <c r="I969" s="446"/>
      <c r="J969" s="1"/>
      <c r="K969" s="1"/>
      <c r="L969" s="1"/>
      <c r="M969" s="431"/>
      <c r="N969" s="1"/>
      <c r="O969" s="1"/>
      <c r="Q969" s="1"/>
      <c r="W969" s="310"/>
      <c r="X969" s="310"/>
      <c r="Y969" s="310"/>
    </row>
    <row r="970" spans="1:25" ht="18.75" customHeight="1" x14ac:dyDescent="0.2">
      <c r="A970" s="444"/>
      <c r="B970" s="1"/>
      <c r="C970" s="1"/>
      <c r="D970" s="1"/>
      <c r="E970" s="1"/>
      <c r="F970" s="1"/>
      <c r="G970" s="445"/>
      <c r="H970" s="1"/>
      <c r="I970" s="446"/>
      <c r="J970" s="1"/>
      <c r="K970" s="1"/>
      <c r="L970" s="1"/>
      <c r="M970" s="431"/>
      <c r="N970" s="1"/>
      <c r="O970" s="1"/>
      <c r="Q970" s="1"/>
      <c r="W970" s="310"/>
      <c r="X970" s="310"/>
      <c r="Y970" s="310"/>
    </row>
    <row r="971" spans="1:25" ht="18.75" customHeight="1" x14ac:dyDescent="0.2">
      <c r="A971" s="444"/>
      <c r="B971" s="1"/>
      <c r="C971" s="1"/>
      <c r="D971" s="1"/>
      <c r="E971" s="1"/>
      <c r="F971" s="1"/>
      <c r="G971" s="445"/>
      <c r="H971" s="1"/>
      <c r="I971" s="446"/>
      <c r="J971" s="1"/>
      <c r="K971" s="1"/>
      <c r="L971" s="1"/>
      <c r="M971" s="431"/>
      <c r="N971" s="1"/>
      <c r="O971" s="1"/>
      <c r="Q971" s="1"/>
      <c r="W971" s="310"/>
      <c r="X971" s="310"/>
      <c r="Y971" s="310"/>
    </row>
    <row r="972" spans="1:25" ht="18.75" customHeight="1" x14ac:dyDescent="0.2">
      <c r="A972" s="444"/>
      <c r="B972" s="1"/>
      <c r="C972" s="1"/>
      <c r="D972" s="1"/>
      <c r="E972" s="1"/>
      <c r="F972" s="1"/>
      <c r="G972" s="445"/>
      <c r="H972" s="1"/>
      <c r="I972" s="446"/>
      <c r="J972" s="1"/>
      <c r="K972" s="1"/>
      <c r="L972" s="1"/>
      <c r="M972" s="431"/>
      <c r="N972" s="1"/>
      <c r="O972" s="1"/>
      <c r="Q972" s="1"/>
      <c r="W972" s="310"/>
      <c r="X972" s="310"/>
      <c r="Y972" s="310"/>
    </row>
    <row r="973" spans="1:25" ht="18.75" customHeight="1" x14ac:dyDescent="0.2">
      <c r="A973" s="444"/>
      <c r="B973" s="1"/>
      <c r="C973" s="1"/>
      <c r="D973" s="1"/>
      <c r="E973" s="1"/>
      <c r="F973" s="1"/>
      <c r="G973" s="445"/>
      <c r="H973" s="1"/>
      <c r="I973" s="446"/>
      <c r="J973" s="1"/>
      <c r="K973" s="1"/>
      <c r="L973" s="1"/>
      <c r="M973" s="431"/>
      <c r="N973" s="1"/>
      <c r="O973" s="1"/>
      <c r="Q973" s="1"/>
      <c r="W973" s="310"/>
      <c r="X973" s="310"/>
      <c r="Y973" s="310"/>
    </row>
    <row r="974" spans="1:25" ht="18.75" customHeight="1" x14ac:dyDescent="0.2">
      <c r="A974" s="444"/>
      <c r="B974" s="1"/>
      <c r="C974" s="1"/>
      <c r="D974" s="1"/>
      <c r="E974" s="1"/>
      <c r="F974" s="1"/>
      <c r="G974" s="445"/>
      <c r="H974" s="1"/>
      <c r="I974" s="446"/>
      <c r="J974" s="1"/>
      <c r="K974" s="1"/>
      <c r="L974" s="1"/>
      <c r="M974" s="431"/>
      <c r="N974" s="1"/>
      <c r="O974" s="1"/>
      <c r="Q974" s="1"/>
      <c r="W974" s="310"/>
      <c r="X974" s="310"/>
      <c r="Y974" s="310"/>
    </row>
    <row r="975" spans="1:25" ht="18.75" customHeight="1" x14ac:dyDescent="0.2">
      <c r="A975" s="444"/>
      <c r="B975" s="1"/>
      <c r="C975" s="1"/>
      <c r="D975" s="1"/>
      <c r="E975" s="1"/>
      <c r="F975" s="1"/>
      <c r="G975" s="445"/>
      <c r="H975" s="1"/>
      <c r="I975" s="446"/>
      <c r="J975" s="1"/>
      <c r="K975" s="1"/>
      <c r="L975" s="1"/>
      <c r="M975" s="431"/>
      <c r="N975" s="1"/>
      <c r="O975" s="1"/>
      <c r="Q975" s="1"/>
      <c r="W975" s="310"/>
      <c r="X975" s="310"/>
      <c r="Y975" s="310"/>
    </row>
    <row r="976" spans="1:25" ht="18.75" customHeight="1" x14ac:dyDescent="0.2">
      <c r="A976" s="444"/>
      <c r="B976" s="1"/>
      <c r="C976" s="1"/>
      <c r="D976" s="1"/>
      <c r="E976" s="1"/>
      <c r="F976" s="1"/>
      <c r="G976" s="445"/>
      <c r="H976" s="1"/>
      <c r="I976" s="446"/>
      <c r="J976" s="1"/>
      <c r="K976" s="1"/>
      <c r="L976" s="1"/>
      <c r="M976" s="431"/>
      <c r="N976" s="1"/>
      <c r="O976" s="1"/>
      <c r="Q976" s="1"/>
      <c r="W976" s="310"/>
      <c r="X976" s="310"/>
      <c r="Y976" s="310"/>
    </row>
    <row r="977" spans="1:25" ht="18.75" customHeight="1" x14ac:dyDescent="0.2">
      <c r="A977" s="444"/>
      <c r="B977" s="1"/>
      <c r="C977" s="1"/>
      <c r="D977" s="1"/>
      <c r="E977" s="1"/>
      <c r="F977" s="1"/>
      <c r="G977" s="445"/>
      <c r="H977" s="1"/>
      <c r="I977" s="446"/>
      <c r="J977" s="1"/>
      <c r="K977" s="1"/>
      <c r="L977" s="1"/>
      <c r="M977" s="431"/>
      <c r="N977" s="1"/>
      <c r="O977" s="1"/>
      <c r="Q977" s="1"/>
      <c r="W977" s="310"/>
      <c r="X977" s="310"/>
      <c r="Y977" s="310"/>
    </row>
    <row r="978" spans="1:25" ht="18.75" customHeight="1" x14ac:dyDescent="0.2">
      <c r="A978" s="444"/>
      <c r="B978" s="1"/>
      <c r="C978" s="1"/>
      <c r="D978" s="1"/>
      <c r="E978" s="1"/>
      <c r="F978" s="1"/>
      <c r="G978" s="445"/>
      <c r="H978" s="1"/>
      <c r="I978" s="446"/>
      <c r="J978" s="1"/>
      <c r="K978" s="1"/>
      <c r="L978" s="1"/>
      <c r="M978" s="431"/>
      <c r="N978" s="1"/>
      <c r="O978" s="1"/>
      <c r="Q978" s="1"/>
      <c r="W978" s="310"/>
      <c r="X978" s="310"/>
      <c r="Y978" s="310"/>
    </row>
    <row r="979" spans="1:25" ht="18.75" customHeight="1" x14ac:dyDescent="0.2">
      <c r="A979" s="444"/>
      <c r="B979" s="1"/>
      <c r="C979" s="1"/>
      <c r="D979" s="1"/>
      <c r="E979" s="1"/>
      <c r="F979" s="1"/>
      <c r="G979" s="445"/>
      <c r="H979" s="1"/>
      <c r="I979" s="446"/>
      <c r="J979" s="1"/>
      <c r="K979" s="1"/>
      <c r="L979" s="1"/>
      <c r="M979" s="431"/>
      <c r="N979" s="1"/>
      <c r="O979" s="1"/>
      <c r="Q979" s="1"/>
      <c r="W979" s="310"/>
      <c r="X979" s="310"/>
      <c r="Y979" s="310"/>
    </row>
    <row r="980" spans="1:25" ht="18.75" customHeight="1" x14ac:dyDescent="0.2">
      <c r="A980" s="444"/>
      <c r="B980" s="1"/>
      <c r="C980" s="1"/>
      <c r="D980" s="1"/>
      <c r="E980" s="1"/>
      <c r="F980" s="1"/>
      <c r="G980" s="445"/>
      <c r="H980" s="1"/>
      <c r="I980" s="446"/>
      <c r="J980" s="1"/>
      <c r="K980" s="1"/>
      <c r="L980" s="1"/>
      <c r="M980" s="431"/>
      <c r="N980" s="1"/>
      <c r="O980" s="1"/>
      <c r="Q980" s="1"/>
      <c r="W980" s="310"/>
      <c r="X980" s="310"/>
      <c r="Y980" s="310"/>
    </row>
    <row r="981" spans="1:25" ht="18.75" customHeight="1" x14ac:dyDescent="0.2">
      <c r="A981" s="444"/>
      <c r="B981" s="1"/>
      <c r="C981" s="1"/>
      <c r="D981" s="1"/>
      <c r="E981" s="1"/>
      <c r="F981" s="1"/>
      <c r="G981" s="445"/>
      <c r="H981" s="1"/>
      <c r="I981" s="446"/>
      <c r="J981" s="1"/>
      <c r="K981" s="1"/>
      <c r="L981" s="1"/>
      <c r="M981" s="431"/>
      <c r="N981" s="1"/>
      <c r="O981" s="1"/>
      <c r="Q981" s="1"/>
      <c r="W981" s="310"/>
      <c r="X981" s="310"/>
      <c r="Y981" s="310"/>
    </row>
    <row r="982" spans="1:25" ht="18.75" customHeight="1" x14ac:dyDescent="0.2">
      <c r="A982" s="444"/>
      <c r="B982" s="1"/>
      <c r="C982" s="1"/>
      <c r="D982" s="1"/>
      <c r="E982" s="1"/>
      <c r="F982" s="1"/>
      <c r="G982" s="445"/>
      <c r="H982" s="1"/>
      <c r="I982" s="446"/>
      <c r="J982" s="1"/>
      <c r="K982" s="1"/>
      <c r="L982" s="1"/>
      <c r="M982" s="431"/>
      <c r="N982" s="1"/>
      <c r="O982" s="1"/>
      <c r="Q982" s="1"/>
      <c r="W982" s="310"/>
      <c r="X982" s="310"/>
      <c r="Y982" s="310"/>
    </row>
    <row r="983" spans="1:25" ht="18.75" customHeight="1" x14ac:dyDescent="0.2">
      <c r="A983" s="444"/>
      <c r="B983" s="1"/>
      <c r="C983" s="1"/>
      <c r="D983" s="1"/>
      <c r="E983" s="1"/>
      <c r="F983" s="1"/>
      <c r="G983" s="445"/>
      <c r="H983" s="1"/>
      <c r="I983" s="446"/>
      <c r="J983" s="1"/>
      <c r="K983" s="1"/>
      <c r="L983" s="1"/>
      <c r="M983" s="431"/>
      <c r="N983" s="1"/>
      <c r="O983" s="1"/>
      <c r="Q983" s="1"/>
      <c r="W983" s="310"/>
      <c r="X983" s="310"/>
      <c r="Y983" s="310"/>
    </row>
    <row r="984" spans="1:25" ht="18.75" customHeight="1" x14ac:dyDescent="0.2">
      <c r="A984" s="444"/>
      <c r="B984" s="1"/>
      <c r="C984" s="1"/>
      <c r="D984" s="1"/>
      <c r="E984" s="1"/>
      <c r="F984" s="1"/>
      <c r="G984" s="445"/>
      <c r="H984" s="1"/>
      <c r="I984" s="446"/>
      <c r="J984" s="1"/>
      <c r="K984" s="1"/>
      <c r="L984" s="1"/>
      <c r="M984" s="431"/>
      <c r="N984" s="1"/>
      <c r="O984" s="1"/>
      <c r="Q984" s="1"/>
      <c r="W984" s="310"/>
      <c r="X984" s="310"/>
      <c r="Y984" s="310"/>
    </row>
    <row r="985" spans="1:25" ht="18.75" customHeight="1" x14ac:dyDescent="0.2">
      <c r="A985" s="444"/>
      <c r="B985" s="1"/>
      <c r="C985" s="1"/>
      <c r="D985" s="1"/>
      <c r="E985" s="1"/>
      <c r="F985" s="1"/>
      <c r="G985" s="445"/>
      <c r="H985" s="1"/>
      <c r="I985" s="446"/>
      <c r="J985" s="1"/>
      <c r="K985" s="1"/>
      <c r="L985" s="1"/>
      <c r="M985" s="431"/>
      <c r="N985" s="1"/>
      <c r="O985" s="1"/>
      <c r="Q985" s="1"/>
      <c r="W985" s="310"/>
      <c r="X985" s="310"/>
      <c r="Y985" s="310"/>
    </row>
    <row r="986" spans="1:25" ht="18.75" customHeight="1" x14ac:dyDescent="0.2">
      <c r="A986" s="444"/>
      <c r="B986" s="1"/>
      <c r="C986" s="1"/>
      <c r="D986" s="1"/>
      <c r="E986" s="1"/>
      <c r="F986" s="1"/>
      <c r="G986" s="445"/>
      <c r="H986" s="1"/>
      <c r="I986" s="446"/>
      <c r="J986" s="1"/>
      <c r="K986" s="1"/>
      <c r="L986" s="1"/>
      <c r="M986" s="431"/>
      <c r="N986" s="1"/>
      <c r="O986" s="1"/>
      <c r="Q986" s="1"/>
      <c r="W986" s="310"/>
      <c r="X986" s="310"/>
      <c r="Y986" s="310"/>
    </row>
    <row r="987" spans="1:25" ht="18.75" customHeight="1" x14ac:dyDescent="0.2">
      <c r="A987" s="444"/>
      <c r="B987" s="1"/>
      <c r="C987" s="1"/>
      <c r="D987" s="1"/>
      <c r="E987" s="1"/>
      <c r="F987" s="1"/>
      <c r="G987" s="445"/>
      <c r="H987" s="1"/>
      <c r="I987" s="446"/>
      <c r="J987" s="1"/>
      <c r="K987" s="1"/>
      <c r="L987" s="1"/>
      <c r="M987" s="431"/>
      <c r="N987" s="1"/>
      <c r="O987" s="1"/>
      <c r="Q987" s="1"/>
      <c r="W987" s="310"/>
      <c r="X987" s="310"/>
      <c r="Y987" s="310"/>
    </row>
    <row r="988" spans="1:25" ht="18.75" customHeight="1" x14ac:dyDescent="0.2">
      <c r="A988" s="444"/>
      <c r="B988" s="1"/>
      <c r="C988" s="1"/>
      <c r="D988" s="1"/>
      <c r="E988" s="1"/>
      <c r="F988" s="1"/>
      <c r="G988" s="445"/>
      <c r="H988" s="1"/>
      <c r="I988" s="446"/>
      <c r="J988" s="1"/>
      <c r="K988" s="1"/>
      <c r="L988" s="1"/>
      <c r="M988" s="431"/>
      <c r="N988" s="1"/>
      <c r="O988" s="1"/>
      <c r="Q988" s="1"/>
      <c r="W988" s="310"/>
      <c r="X988" s="310"/>
      <c r="Y988" s="310"/>
    </row>
    <row r="989" spans="1:25" ht="18.75" customHeight="1" x14ac:dyDescent="0.2">
      <c r="A989" s="444"/>
      <c r="B989" s="1"/>
      <c r="C989" s="1"/>
      <c r="D989" s="1"/>
      <c r="E989" s="1"/>
      <c r="F989" s="1"/>
      <c r="G989" s="445"/>
      <c r="H989" s="1"/>
      <c r="I989" s="446"/>
      <c r="J989" s="1"/>
      <c r="K989" s="1"/>
      <c r="L989" s="1"/>
      <c r="M989" s="431"/>
      <c r="N989" s="1"/>
      <c r="O989" s="1"/>
      <c r="Q989" s="1"/>
      <c r="W989" s="310"/>
      <c r="X989" s="310"/>
      <c r="Y989" s="310"/>
    </row>
    <row r="990" spans="1:25" ht="18.75" customHeight="1" x14ac:dyDescent="0.2">
      <c r="A990" s="444"/>
      <c r="B990" s="1"/>
      <c r="C990" s="1"/>
      <c r="D990" s="1"/>
      <c r="E990" s="1"/>
      <c r="F990" s="1"/>
      <c r="G990" s="445"/>
      <c r="H990" s="1"/>
      <c r="I990" s="446"/>
      <c r="J990" s="1"/>
      <c r="K990" s="1"/>
      <c r="L990" s="1"/>
      <c r="M990" s="431"/>
      <c r="N990" s="1"/>
      <c r="O990" s="1"/>
      <c r="Q990" s="1"/>
      <c r="W990" s="310"/>
      <c r="X990" s="310"/>
      <c r="Y990" s="310"/>
    </row>
    <row r="991" spans="1:25" ht="18.75" customHeight="1" x14ac:dyDescent="0.2">
      <c r="A991" s="444"/>
      <c r="B991" s="1"/>
      <c r="C991" s="1"/>
      <c r="D991" s="1"/>
      <c r="E991" s="1"/>
      <c r="F991" s="1"/>
      <c r="G991" s="445"/>
      <c r="H991" s="1"/>
      <c r="I991" s="446"/>
      <c r="J991" s="1"/>
      <c r="K991" s="1"/>
      <c r="L991" s="1"/>
      <c r="M991" s="431"/>
      <c r="N991" s="1"/>
      <c r="O991" s="1"/>
      <c r="Q991" s="1"/>
      <c r="W991" s="310"/>
      <c r="X991" s="310"/>
      <c r="Y991" s="310"/>
    </row>
    <row r="992" spans="1:25" ht="18.75" customHeight="1" x14ac:dyDescent="0.2">
      <c r="A992" s="444"/>
      <c r="B992" s="1"/>
      <c r="C992" s="1"/>
      <c r="D992" s="1"/>
      <c r="E992" s="1"/>
      <c r="F992" s="1"/>
      <c r="G992" s="445"/>
      <c r="H992" s="1"/>
      <c r="I992" s="446"/>
      <c r="J992" s="1"/>
      <c r="K992" s="1"/>
      <c r="L992" s="1"/>
      <c r="M992" s="431"/>
      <c r="N992" s="1"/>
      <c r="O992" s="1"/>
      <c r="Q992" s="1"/>
      <c r="W992" s="310"/>
      <c r="X992" s="310"/>
      <c r="Y992" s="310"/>
    </row>
    <row r="993" spans="1:25" ht="18.75" customHeight="1" x14ac:dyDescent="0.2">
      <c r="A993" s="444"/>
      <c r="B993" s="1"/>
      <c r="C993" s="1"/>
      <c r="D993" s="1"/>
      <c r="E993" s="1"/>
      <c r="F993" s="1"/>
      <c r="G993" s="445"/>
      <c r="H993" s="1"/>
      <c r="I993" s="446"/>
      <c r="J993" s="1"/>
      <c r="K993" s="1"/>
      <c r="L993" s="1"/>
      <c r="M993" s="431"/>
      <c r="N993" s="1"/>
      <c r="O993" s="1"/>
      <c r="Q993" s="1"/>
      <c r="W993" s="310"/>
      <c r="X993" s="310"/>
      <c r="Y993" s="310"/>
    </row>
    <row r="994" spans="1:25" ht="18.75" customHeight="1" x14ac:dyDescent="0.2">
      <c r="A994" s="444"/>
      <c r="B994" s="1"/>
      <c r="C994" s="1"/>
      <c r="D994" s="1"/>
      <c r="E994" s="1"/>
      <c r="F994" s="1"/>
      <c r="G994" s="445"/>
      <c r="H994" s="1"/>
      <c r="I994" s="446"/>
      <c r="J994" s="1"/>
      <c r="K994" s="1"/>
      <c r="L994" s="1"/>
      <c r="M994" s="431"/>
      <c r="N994" s="1"/>
      <c r="O994" s="1"/>
      <c r="Q994" s="1"/>
      <c r="W994" s="310"/>
      <c r="X994" s="310"/>
      <c r="Y994" s="310"/>
    </row>
    <row r="995" spans="1:25" ht="18.75" customHeight="1" x14ac:dyDescent="0.2">
      <c r="A995" s="444"/>
      <c r="B995" s="1"/>
      <c r="C995" s="1"/>
      <c r="D995" s="1"/>
      <c r="E995" s="1"/>
      <c r="F995" s="1"/>
      <c r="G995" s="445"/>
      <c r="H995" s="1"/>
      <c r="I995" s="446"/>
      <c r="J995" s="1"/>
      <c r="K995" s="1"/>
      <c r="L995" s="1"/>
      <c r="M995" s="431"/>
      <c r="N995" s="1"/>
      <c r="O995" s="1"/>
      <c r="Q995" s="1"/>
      <c r="W995" s="310"/>
      <c r="X995" s="310"/>
      <c r="Y995" s="310"/>
    </row>
    <row r="996" spans="1:25" ht="18.75" customHeight="1" x14ac:dyDescent="0.2">
      <c r="A996" s="444"/>
      <c r="B996" s="1"/>
      <c r="C996" s="1"/>
      <c r="D996" s="1"/>
      <c r="E996" s="1"/>
      <c r="F996" s="1"/>
      <c r="G996" s="445"/>
      <c r="H996" s="1"/>
      <c r="I996" s="446"/>
      <c r="J996" s="1"/>
      <c r="K996" s="1"/>
      <c r="L996" s="1"/>
      <c r="M996" s="431"/>
      <c r="N996" s="1"/>
      <c r="O996" s="1"/>
      <c r="Q996" s="1"/>
      <c r="W996" s="310"/>
      <c r="X996" s="310"/>
      <c r="Y996" s="310"/>
    </row>
    <row r="997" spans="1:25" ht="18.75" customHeight="1" x14ac:dyDescent="0.2">
      <c r="A997" s="444"/>
      <c r="B997" s="1"/>
      <c r="C997" s="1"/>
      <c r="D997" s="1"/>
      <c r="E997" s="1"/>
      <c r="F997" s="1"/>
      <c r="G997" s="445"/>
      <c r="H997" s="1"/>
      <c r="I997" s="446"/>
      <c r="J997" s="1"/>
      <c r="K997" s="1"/>
      <c r="L997" s="1"/>
      <c r="M997" s="431"/>
      <c r="N997" s="1"/>
      <c r="O997" s="1"/>
      <c r="Q997" s="1"/>
      <c r="W997" s="310"/>
      <c r="X997" s="310"/>
      <c r="Y997" s="310"/>
    </row>
    <row r="998" spans="1:25" ht="18.75" customHeight="1" x14ac:dyDescent="0.2">
      <c r="A998" s="444"/>
      <c r="B998" s="1"/>
      <c r="C998" s="1"/>
      <c r="D998" s="1"/>
      <c r="E998" s="1"/>
      <c r="F998" s="1"/>
      <c r="G998" s="445"/>
      <c r="H998" s="1"/>
      <c r="I998" s="446"/>
      <c r="J998" s="1"/>
      <c r="K998" s="1"/>
      <c r="L998" s="1"/>
      <c r="M998" s="431"/>
      <c r="N998" s="1"/>
      <c r="O998" s="1"/>
      <c r="Q998" s="1"/>
      <c r="W998" s="310"/>
      <c r="X998" s="310"/>
      <c r="Y998" s="310"/>
    </row>
    <row r="999" spans="1:25" ht="18.75" customHeight="1" x14ac:dyDescent="0.2">
      <c r="A999" s="444"/>
      <c r="B999" s="1"/>
      <c r="C999" s="1"/>
      <c r="D999" s="1"/>
      <c r="E999" s="1"/>
      <c r="F999" s="1"/>
      <c r="G999" s="445"/>
      <c r="H999" s="1"/>
      <c r="I999" s="446"/>
      <c r="J999" s="1"/>
      <c r="K999" s="1"/>
      <c r="L999" s="1"/>
      <c r="M999" s="431"/>
      <c r="N999" s="1"/>
      <c r="O999" s="1"/>
      <c r="Q999" s="1"/>
      <c r="W999" s="310"/>
      <c r="X999" s="310"/>
      <c r="Y999" s="310"/>
    </row>
    <row r="1000" spans="1:25" ht="18.75" customHeight="1" x14ac:dyDescent="0.2">
      <c r="A1000" s="444"/>
      <c r="B1000" s="1"/>
      <c r="C1000" s="1"/>
      <c r="D1000" s="1"/>
      <c r="E1000" s="1"/>
      <c r="F1000" s="1"/>
      <c r="G1000" s="445"/>
      <c r="H1000" s="1"/>
      <c r="I1000" s="446"/>
      <c r="J1000" s="1"/>
      <c r="K1000" s="1"/>
      <c r="L1000" s="1"/>
      <c r="M1000" s="431"/>
      <c r="N1000" s="1"/>
      <c r="O1000" s="1"/>
      <c r="Q1000" s="1"/>
      <c r="W1000" s="310"/>
      <c r="X1000" s="310"/>
      <c r="Y1000" s="310"/>
    </row>
    <row r="1001" spans="1:25" ht="18.75" customHeight="1" x14ac:dyDescent="0.2">
      <c r="A1001" s="444"/>
      <c r="B1001" s="1"/>
      <c r="C1001" s="1"/>
      <c r="D1001" s="1"/>
      <c r="E1001" s="1"/>
      <c r="F1001" s="1"/>
      <c r="G1001" s="445"/>
      <c r="H1001" s="1"/>
      <c r="I1001" s="446"/>
      <c r="J1001" s="1"/>
      <c r="K1001" s="1"/>
      <c r="L1001" s="1"/>
      <c r="M1001" s="431"/>
      <c r="N1001" s="1"/>
      <c r="O1001" s="1"/>
      <c r="Q1001" s="1"/>
      <c r="W1001" s="310"/>
      <c r="X1001" s="310"/>
      <c r="Y1001" s="310"/>
    </row>
    <row r="1002" spans="1:25" ht="18.75" customHeight="1" x14ac:dyDescent="0.2">
      <c r="A1002" s="444"/>
      <c r="B1002" s="1"/>
      <c r="C1002" s="1"/>
      <c r="D1002" s="1"/>
      <c r="E1002" s="1"/>
      <c r="F1002" s="1"/>
      <c r="G1002" s="445"/>
      <c r="H1002" s="1"/>
      <c r="I1002" s="446"/>
      <c r="J1002" s="1"/>
      <c r="K1002" s="1"/>
      <c r="L1002" s="1"/>
      <c r="M1002" s="431"/>
      <c r="N1002" s="1"/>
      <c r="O1002" s="1"/>
      <c r="Q1002" s="1"/>
      <c r="W1002" s="310"/>
      <c r="X1002" s="310"/>
      <c r="Y1002" s="310"/>
    </row>
    <row r="1003" spans="1:25" ht="18.75" customHeight="1" x14ac:dyDescent="0.2">
      <c r="A1003" s="444"/>
      <c r="B1003" s="1"/>
      <c r="C1003" s="1"/>
      <c r="D1003" s="1"/>
      <c r="E1003" s="1"/>
      <c r="F1003" s="1"/>
      <c r="G1003" s="445"/>
      <c r="H1003" s="1"/>
      <c r="I1003" s="446"/>
      <c r="J1003" s="1"/>
      <c r="K1003" s="1"/>
      <c r="L1003" s="1"/>
      <c r="M1003" s="431"/>
      <c r="N1003" s="1"/>
      <c r="O1003" s="1"/>
      <c r="Q1003" s="1"/>
      <c r="W1003" s="310"/>
      <c r="X1003" s="310"/>
      <c r="Y1003" s="310"/>
    </row>
    <row r="1004" spans="1:25" ht="18.75" customHeight="1" x14ac:dyDescent="0.2">
      <c r="A1004" s="444"/>
      <c r="B1004" s="1"/>
      <c r="C1004" s="1"/>
      <c r="D1004" s="1"/>
      <c r="E1004" s="1"/>
      <c r="F1004" s="1"/>
      <c r="G1004" s="445"/>
      <c r="H1004" s="1"/>
      <c r="I1004" s="446"/>
      <c r="J1004" s="1"/>
      <c r="K1004" s="1"/>
      <c r="L1004" s="1"/>
      <c r="M1004" s="431"/>
      <c r="N1004" s="1"/>
      <c r="O1004" s="1"/>
      <c r="Q1004" s="1"/>
      <c r="W1004" s="310"/>
      <c r="X1004" s="310"/>
      <c r="Y1004" s="310"/>
    </row>
    <row r="1005" spans="1:25" ht="18.75" customHeight="1" x14ac:dyDescent="0.2">
      <c r="A1005" s="444"/>
      <c r="B1005" s="1"/>
      <c r="C1005" s="1"/>
      <c r="D1005" s="1"/>
      <c r="E1005" s="1"/>
      <c r="F1005" s="1"/>
      <c r="G1005" s="445"/>
      <c r="H1005" s="1"/>
      <c r="I1005" s="446"/>
      <c r="J1005" s="1"/>
      <c r="K1005" s="1"/>
      <c r="L1005" s="1"/>
      <c r="M1005" s="431"/>
      <c r="N1005" s="1"/>
      <c r="O1005" s="1"/>
      <c r="Q1005" s="1"/>
      <c r="W1005" s="310"/>
      <c r="X1005" s="310"/>
      <c r="Y1005" s="310"/>
    </row>
    <row r="1006" spans="1:25" ht="18.75" customHeight="1" x14ac:dyDescent="0.2">
      <c r="A1006" s="444"/>
      <c r="B1006" s="1"/>
      <c r="C1006" s="1"/>
      <c r="D1006" s="1"/>
      <c r="E1006" s="1"/>
      <c r="F1006" s="1"/>
      <c r="G1006" s="445"/>
      <c r="H1006" s="1"/>
      <c r="I1006" s="446"/>
      <c r="J1006" s="1"/>
      <c r="K1006" s="1"/>
      <c r="L1006" s="1"/>
      <c r="M1006" s="431"/>
      <c r="N1006" s="1"/>
      <c r="O1006" s="1"/>
      <c r="Q1006" s="1"/>
      <c r="W1006" s="310"/>
      <c r="X1006" s="310"/>
      <c r="Y1006" s="310"/>
    </row>
    <row r="1007" spans="1:25" ht="18.75" customHeight="1" x14ac:dyDescent="0.2">
      <c r="A1007" s="444"/>
      <c r="B1007" s="1"/>
      <c r="C1007" s="1"/>
      <c r="D1007" s="1"/>
      <c r="E1007" s="1"/>
      <c r="F1007" s="1"/>
      <c r="G1007" s="445"/>
      <c r="H1007" s="1"/>
      <c r="I1007" s="446"/>
      <c r="J1007" s="1"/>
      <c r="K1007" s="1"/>
      <c r="L1007" s="1"/>
      <c r="M1007" s="431"/>
      <c r="N1007" s="1"/>
      <c r="O1007" s="1"/>
      <c r="Q1007" s="1"/>
      <c r="W1007" s="310"/>
      <c r="X1007" s="310"/>
      <c r="Y1007" s="310"/>
    </row>
    <row r="1008" spans="1:25" ht="18.75" customHeight="1" x14ac:dyDescent="0.2">
      <c r="A1008" s="444"/>
      <c r="B1008" s="1"/>
      <c r="C1008" s="1"/>
      <c r="D1008" s="1"/>
      <c r="E1008" s="1"/>
      <c r="F1008" s="1"/>
      <c r="G1008" s="445"/>
      <c r="H1008" s="1"/>
      <c r="I1008" s="446"/>
      <c r="J1008" s="1"/>
      <c r="K1008" s="1"/>
      <c r="L1008" s="1"/>
      <c r="M1008" s="431"/>
      <c r="N1008" s="1"/>
      <c r="O1008" s="1"/>
      <c r="Q1008" s="1"/>
      <c r="W1008" s="310"/>
      <c r="X1008" s="310"/>
      <c r="Y1008" s="310"/>
    </row>
    <row r="1009" spans="1:25" ht="18.75" customHeight="1" x14ac:dyDescent="0.2">
      <c r="A1009" s="444"/>
      <c r="B1009" s="1"/>
      <c r="C1009" s="1"/>
      <c r="D1009" s="1"/>
      <c r="E1009" s="1"/>
      <c r="F1009" s="1"/>
      <c r="G1009" s="445"/>
      <c r="H1009" s="1"/>
      <c r="I1009" s="446"/>
      <c r="J1009" s="1"/>
      <c r="K1009" s="1"/>
      <c r="L1009" s="1"/>
      <c r="M1009" s="431"/>
      <c r="N1009" s="1"/>
      <c r="O1009" s="1"/>
      <c r="Q1009" s="1"/>
      <c r="W1009" s="310"/>
      <c r="X1009" s="310"/>
      <c r="Y1009" s="310"/>
    </row>
    <row r="1010" spans="1:25" ht="18.75" customHeight="1" x14ac:dyDescent="0.2">
      <c r="A1010" s="444"/>
      <c r="B1010" s="1"/>
      <c r="C1010" s="1"/>
      <c r="D1010" s="1"/>
      <c r="E1010" s="1"/>
      <c r="F1010" s="1"/>
      <c r="G1010" s="445"/>
      <c r="H1010" s="1"/>
      <c r="I1010" s="446"/>
      <c r="J1010" s="1"/>
      <c r="K1010" s="1"/>
      <c r="L1010" s="1"/>
      <c r="M1010" s="431"/>
      <c r="N1010" s="1"/>
      <c r="O1010" s="1"/>
      <c r="Q1010" s="1"/>
      <c r="W1010" s="310"/>
      <c r="X1010" s="310"/>
      <c r="Y1010" s="310"/>
    </row>
  </sheetData>
  <mergeCells count="16">
    <mergeCell ref="P41:P43"/>
    <mergeCell ref="B42:B50"/>
    <mergeCell ref="M45:M46"/>
    <mergeCell ref="P46:P48"/>
    <mergeCell ref="A28:A31"/>
    <mergeCell ref="B51:B57"/>
    <mergeCell ref="B58:B64"/>
    <mergeCell ref="I28:I31"/>
    <mergeCell ref="I32:I33"/>
    <mergeCell ref="I34:I35"/>
    <mergeCell ref="J3:L3"/>
    <mergeCell ref="A5:A26"/>
    <mergeCell ref="B5:B11"/>
    <mergeCell ref="I5:I26"/>
    <mergeCell ref="B13:B16"/>
    <mergeCell ref="B20:B26"/>
  </mergeCells>
  <hyperlinks>
    <hyperlink ref="C6" r:id="rId1" xr:uid="{00000000-0004-0000-0200-000000000000}"/>
    <hyperlink ref="C7" r:id="rId2" xr:uid="{00000000-0004-0000-0200-000001000000}"/>
    <hyperlink ref="C8" r:id="rId3" xr:uid="{00000000-0004-0000-0200-000002000000}"/>
    <hyperlink ref="C10" r:id="rId4" xr:uid="{00000000-0004-0000-0200-000003000000}"/>
    <hyperlink ref="C13" r:id="rId5" xr:uid="{00000000-0004-0000-0200-000004000000}"/>
    <hyperlink ref="C15" r:id="rId6" xr:uid="{00000000-0004-0000-0200-000005000000}"/>
    <hyperlink ref="C16" r:id="rId7" location="inbox/FMfcgzQgLXnVcJMzdpXVWfTQjdqFZZdK" xr:uid="{00000000-0004-0000-0200-000006000000}"/>
    <hyperlink ref="C20" r:id="rId8" xr:uid="{00000000-0004-0000-0200-000007000000}"/>
    <hyperlink ref="C21" r:id="rId9" xr:uid="{00000000-0004-0000-0200-000008000000}"/>
    <hyperlink ref="C22" r:id="rId10" xr:uid="{00000000-0004-0000-0200-000009000000}"/>
    <hyperlink ref="C42" r:id="rId11" xr:uid="{00000000-0004-0000-0200-00000A000000}"/>
    <hyperlink ref="C43" r:id="rId12" xr:uid="{00000000-0004-0000-0200-00000B000000}"/>
    <hyperlink ref="C44" r:id="rId13" xr:uid="{00000000-0004-0000-0200-00000C000000}"/>
    <hyperlink ref="C45" r:id="rId14" xr:uid="{00000000-0004-0000-0200-00000D000000}"/>
    <hyperlink ref="C46" r:id="rId15" xr:uid="{00000000-0004-0000-0200-00000E000000}"/>
    <hyperlink ref="C47" r:id="rId16" xr:uid="{00000000-0004-0000-0200-00000F000000}"/>
    <hyperlink ref="C49" r:id="rId17" xr:uid="{00000000-0004-0000-0200-000010000000}"/>
    <hyperlink ref="C51" r:id="rId18" xr:uid="{00000000-0004-0000-0200-000011000000}"/>
    <hyperlink ref="C53" r:id="rId19" xr:uid="{00000000-0004-0000-0200-000012000000}"/>
    <hyperlink ref="C59" r:id="rId20" xr:uid="{00000000-0004-0000-0200-000013000000}"/>
    <hyperlink ref="C60" r:id="rId21" xr:uid="{00000000-0004-0000-0200-000014000000}"/>
    <hyperlink ref="C61" r:id="rId22" xr:uid="{00000000-0004-0000-0200-000015000000}"/>
    <hyperlink ref="C62" r:id="rId23" xr:uid="{00000000-0004-0000-0200-000016000000}"/>
    <hyperlink ref="C63" r:id="rId24" xr:uid="{00000000-0004-0000-0200-000017000000}"/>
    <hyperlink ref="C64" r:id="rId25" xr:uid="{00000000-0004-0000-0200-000018000000}"/>
    <hyperlink ref="C65" r:id="rId26" xr:uid="{00000000-0004-0000-0200-000019000000}"/>
  </hyperlinks>
  <pageMargins left="0.7" right="0.7" top="0.75" bottom="0.75" header="0" footer="0"/>
  <pageSetup orientation="landscape"/>
  <legacy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 Week Cashflow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Belete</cp:lastModifiedBy>
  <dcterms:created xsi:type="dcterms:W3CDTF">2026-04-27T17:54:38Z</dcterms:created>
  <dcterms:modified xsi:type="dcterms:W3CDTF">2026-04-27T17:54:38Z</dcterms:modified>
</cp:coreProperties>
</file>